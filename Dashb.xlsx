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-b.a.alshehri\Desktop\Bushra_coding_space\"/>
    </mc:Choice>
  </mc:AlternateContent>
  <xr:revisionPtr revIDLastSave="0" documentId="13_ncr:1_{A83135AD-4251-4282-AFFC-D5F53D2E7819}" xr6:coauthVersionLast="47" xr6:coauthVersionMax="47" xr10:uidLastSave="{00000000-0000-0000-0000-000000000000}"/>
  <bookViews>
    <workbookView xWindow="-110" yWindow="-110" windowWidth="19420" windowHeight="11500" firstSheet="4" activeTab="7" xr2:uid="{32733E4E-3402-440B-8B38-F34A2056EB34}"/>
  </bookViews>
  <sheets>
    <sheet name="Real" sheetId="1" r:id="rId1"/>
    <sheet name="Jop" sheetId="4" r:id="rId2"/>
    <sheet name="Fiscal " sheetId="2" r:id="rId3"/>
    <sheet name="External" sheetId="3" r:id="rId4"/>
    <sheet name="pulse" sheetId="5" r:id="rId5"/>
    <sheet name="relations" sheetId="8" r:id="rId6"/>
    <sheet name="events" sheetId="10" r:id="rId7"/>
    <sheet name="forecast" sheetId="12" r:id="rId8"/>
    <sheet name="المحذوف من صفحة real" sheetId="6" r:id="rId9"/>
    <sheet name="Sheet1" sheetId="7" r:id="rId10"/>
    <sheet name="Sheet2" sheetId="9" r:id="rId11"/>
    <sheet name="External (2)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1" l="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I1" i="7"/>
  <c r="J1" i="7" s="1"/>
</calcChain>
</file>

<file path=xl/sharedStrings.xml><?xml version="1.0" encoding="utf-8"?>
<sst xmlns="http://schemas.openxmlformats.org/spreadsheetml/2006/main" count="117" uniqueCount="73">
  <si>
    <t>Year</t>
  </si>
  <si>
    <t xml:space="preserve">معدل نمو الناتج المحلي الإجمالي بالأسعار الجارية </t>
  </si>
  <si>
    <t>نمو الأنشطة النفطية %</t>
  </si>
  <si>
    <t>نمو الأنشطة غير النفطية %</t>
  </si>
  <si>
    <t xml:space="preserve">نمو الأنشطة الحكومية % </t>
  </si>
  <si>
    <t xml:space="preserve">نمو الناتج المحلي الحقيقي % </t>
  </si>
  <si>
    <t>-</t>
  </si>
  <si>
    <t xml:space="preserve">الإيرادات النفطية (مليون ) </t>
  </si>
  <si>
    <t xml:space="preserve">الإيرادات غير النفطية (مليون) </t>
  </si>
  <si>
    <t xml:space="preserve">اجمالي الإيرادات (مليون) </t>
  </si>
  <si>
    <t xml:space="preserve">النفقات التشغيلية (مليون) </t>
  </si>
  <si>
    <t xml:space="preserve">النفقات الرأسمالية  (مليون) </t>
  </si>
  <si>
    <t xml:space="preserve">اجمالي الانفاق  (مليون) </t>
  </si>
  <si>
    <t xml:space="preserve">معدل البطالة للذكور </t>
  </si>
  <si>
    <t xml:space="preserve">معدل البطالة للاناث </t>
  </si>
  <si>
    <t xml:space="preserve">معدل البطالة الاجمالي </t>
  </si>
  <si>
    <t>معدل التضخم , أسعار المستهلك</t>
  </si>
  <si>
    <t>عرض النقود M1 (مليون)</t>
  </si>
  <si>
    <t xml:space="preserve">عرض النقود M2 (مليون) </t>
  </si>
  <si>
    <t>عرض النقود M3 (مليون)</t>
  </si>
  <si>
    <t xml:space="preserve">RR معدل الشراء </t>
  </si>
  <si>
    <t xml:space="preserve">RRRمعدل إعادة الشراء </t>
  </si>
  <si>
    <t xml:space="preserve">Monthly Avg. 3M SAIBOR </t>
  </si>
  <si>
    <t xml:space="preserve">عرض النقود M3 مليون </t>
  </si>
  <si>
    <t xml:space="preserve">الصادرات </t>
  </si>
  <si>
    <t xml:space="preserve">الواردات </t>
  </si>
  <si>
    <t xml:space="preserve">التضخم </t>
  </si>
  <si>
    <t>المحذوف من fiscal</t>
  </si>
  <si>
    <t>الاستثمار معدل نمو %</t>
  </si>
  <si>
    <t>الاستهلاك النهائي معدل نمو %</t>
  </si>
  <si>
    <t>رصيد الحساب الجاري (مليون)</t>
  </si>
  <si>
    <t>الصادرات (مليون)</t>
  </si>
  <si>
    <t>الواردات (مليون)</t>
  </si>
  <si>
    <t>التضخم معدل %</t>
  </si>
  <si>
    <t xml:space="preserve">عرض النقود M3 (مليون) </t>
  </si>
  <si>
    <t>وصف القسم</t>
  </si>
  <si>
    <t>الحيوانات ومنتجاتها</t>
  </si>
  <si>
    <t>منتجات نباتية</t>
  </si>
  <si>
    <t>دهون وزيوت وشموع حيوانية أو نباتية ومنتجاتها</t>
  </si>
  <si>
    <t>منتجات صناعة الأغذية، مشروبات وتبغ</t>
  </si>
  <si>
    <t>المنتجات المعدنية</t>
  </si>
  <si>
    <t>منتجات الصناعات الكيماوية</t>
  </si>
  <si>
    <t>لدائن ومطاط ومصنوعاتها</t>
  </si>
  <si>
    <t>صلال وجلود ومصنوعاتها، حقائب وما يماثلها</t>
  </si>
  <si>
    <t>خشب وفلين ومواد ضفر ومصنوعاتها</t>
  </si>
  <si>
    <t>ورق وورق مقوى ومصنوعاتهما</t>
  </si>
  <si>
    <t>مواد نسجية ومصنوعاتها</t>
  </si>
  <si>
    <t>أحذية، أغطية رأس، مظلات وعصي</t>
  </si>
  <si>
    <t>مصنوعات من حجر، جص، إسمنت، خزف، زجاج</t>
  </si>
  <si>
    <t>أحجار أو معادن ثمينة ومصنوعاتها، مجوهرات</t>
  </si>
  <si>
    <t>معادن عادية ومصنوعاتها</t>
  </si>
  <si>
    <t>آلات وأجهزة آلية ومعدات كهربائية وأجزاؤها</t>
  </si>
  <si>
    <t>عربات، طائرات، بواخر، ومعدات نقل مماثلة</t>
  </si>
  <si>
    <t>أدوات وأجهزة للبصريات أو للتصوير أو للقياس أو للفحص أو للطب، الساعات والأدوات الموسيقية</t>
  </si>
  <si>
    <t>أسلحة وذخائر، أجزاؤها ولوازمها</t>
  </si>
  <si>
    <t>أصناف مصنوعات متنوعة</t>
  </si>
  <si>
    <t>تحف فنية وقطع أثرية</t>
  </si>
  <si>
    <t>الإجمالي</t>
  </si>
  <si>
    <t>الصادرات</t>
  </si>
  <si>
    <t>الواردات</t>
  </si>
  <si>
    <t xml:space="preserve">صادرات السلع </t>
  </si>
  <si>
    <t xml:space="preserve">واردات السلع </t>
  </si>
  <si>
    <t>الصادرات(مليار)</t>
  </si>
  <si>
    <t>الواردات(مليار)</t>
  </si>
  <si>
    <t>الميزان التجاري</t>
  </si>
  <si>
    <t>ميزان الحساب الجاري2</t>
  </si>
  <si>
    <t xml:space="preserve">الميزان التجاري (مليار) </t>
  </si>
  <si>
    <t xml:space="preserve">ميزان الحساب الجاري (مليار) </t>
  </si>
  <si>
    <t xml:space="preserve">توقعات صندوق النقد الدولي </t>
  </si>
  <si>
    <t xml:space="preserve">الناتج المحلي الحقيقي الفعلي </t>
  </si>
  <si>
    <t xml:space="preserve">توقعات وزارة المالية </t>
  </si>
  <si>
    <t xml:space="preserve">توقعات نموذج هولت   </t>
  </si>
  <si>
    <t xml:space="preserve">المحذوف من التوقع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</si>
</sst>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>
    <font>
      <sz val="11"/>
      <color theme="1"/>
      <name val="Aptos Narrow"/>
      <family val="2"/>
      <scheme val="minor"/>
    </font>
    <font>
      <sz val="12"/>
      <color theme="1"/>
      <name val="DSC"/>
      <family val="3"/>
    </font>
    <font>
      <b/>
      <sz val="11"/>
      <color theme="0"/>
      <name val="DSC"/>
      <family val="3"/>
    </font>
    <font>
      <sz val="11"/>
      <color theme="1"/>
      <name val="DSC"/>
      <family val="3"/>
    </font>
    <font>
      <b/>
      <sz val="12"/>
      <color theme="1"/>
      <name val="DSC"/>
      <family val="3"/>
    </font>
    <font>
      <sz val="11"/>
      <color theme="0"/>
      <name val="DSC"/>
      <family val="3"/>
    </font>
    <font>
      <sz val="12"/>
      <color theme="1"/>
      <name val="Aptos Narrow"/>
      <family val="2"/>
      <scheme val="minor"/>
    </font>
    <font>
      <sz val="10"/>
      <color rgb="FF333333"/>
      <name val="Calibri"/>
      <family val="2"/>
    </font>
    <font>
      <sz val="12"/>
      <color theme="0"/>
      <name val="DSC"/>
      <family val="3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Frutiger LT Arabic 45 Light"/>
    </font>
    <font>
      <sz val="11"/>
      <name val="Frutiger LT Arabic 45 Light"/>
    </font>
    <font>
      <b/>
      <sz val="11"/>
      <color theme="0"/>
      <name val="Frutiger LT Arabic 45 Light"/>
    </font>
    <font>
      <sz val="11"/>
      <color theme="0"/>
      <name val="Aptos Narrow"/>
      <family val="2"/>
      <scheme val="minor"/>
    </font>
    <font>
      <sz val="11"/>
      <color rgb="FF404040"/>
      <name val="DSC"/>
      <family val="3"/>
    </font>
    <font>
      <sz val="8"/>
      <name val="Aptos Narrow"/>
      <family val="2"/>
      <scheme val="minor"/>
    </font>
    <font>
      <sz val="10"/>
      <name val="DSC"/>
      <family val="3"/>
    </font>
    <font>
      <sz val="10"/>
      <color theme="1"/>
      <name val="DSC"/>
      <family val="3"/>
    </font>
    <font>
      <sz val="10"/>
      <color theme="0"/>
      <name val="DSC"/>
      <family val="3"/>
    </font>
  </fonts>
  <fills count="14">
    <fill>
      <patternFill patternType="none"/>
    </fill>
    <fill>
      <patternFill patternType="gray125"/>
    </fill>
    <fill>
      <patternFill patternType="solid">
        <fgColor rgb="FFB584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6"/>
      </patternFill>
    </fill>
    <fill>
      <patternFill patternType="solid">
        <fgColor rgb="FFB58400"/>
        <bgColor theme="6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9BF"/>
        <bgColor indexed="64"/>
      </patternFill>
    </fill>
    <fill>
      <patternFill patternType="solid">
        <fgColor rgb="FFE2EFF4"/>
        <bgColor indexed="64"/>
      </patternFill>
    </fill>
    <fill>
      <patternFill patternType="solid">
        <fgColor rgb="FFC8E2EC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EEEEE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10">
    <xf numFmtId="0" fontId="0" fillId="0" borderId="0"/>
    <xf numFmtId="0" fontId="6" fillId="0" borderId="0"/>
    <xf numFmtId="0" fontId="10" fillId="0" borderId="0">
      <alignment vertical="top"/>
      <protection locked="0"/>
    </xf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81">
    <xf numFmtId="0" fontId="0" fillId="0" borderId="0" xfId="0"/>
    <xf numFmtId="0" fontId="1" fillId="0" borderId="0" xfId="0" applyFont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1" fillId="3" borderId="0" xfId="0" applyFont="1" applyFill="1"/>
    <xf numFmtId="0" fontId="4" fillId="3" borderId="3" xfId="0" applyFont="1" applyFill="1" applyBorder="1"/>
    <xf numFmtId="0" fontId="3" fillId="3" borderId="0" xfId="0" applyFont="1" applyFill="1"/>
    <xf numFmtId="0" fontId="0" fillId="3" borderId="0" xfId="0" applyFill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5" fillId="3" borderId="0" xfId="0" applyFont="1" applyFill="1"/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5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7" fillId="8" borderId="7" xfId="0" applyFont="1" applyFill="1" applyBorder="1" applyAlignment="1">
      <alignment horizontal="center" vertical="center" wrapText="1"/>
    </xf>
    <xf numFmtId="0" fontId="6" fillId="0" borderId="0" xfId="1"/>
    <xf numFmtId="0" fontId="8" fillId="3" borderId="0" xfId="0" applyFont="1" applyFill="1"/>
    <xf numFmtId="0" fontId="1" fillId="9" borderId="0" xfId="0" applyFont="1" applyFill="1"/>
    <xf numFmtId="0" fontId="3" fillId="9" borderId="3" xfId="0" applyFont="1" applyFill="1" applyBorder="1"/>
    <xf numFmtId="0" fontId="3" fillId="9" borderId="3" xfId="0" applyFont="1" applyFill="1" applyBorder="1" applyAlignment="1">
      <alignment horizontal="center"/>
    </xf>
    <xf numFmtId="0" fontId="6" fillId="9" borderId="0" xfId="1" applyFill="1"/>
    <xf numFmtId="0" fontId="3" fillId="9" borderId="2" xfId="0" applyFont="1" applyFill="1" applyBorder="1" applyAlignment="1">
      <alignment horizontal="center"/>
    </xf>
    <xf numFmtId="0" fontId="0" fillId="9" borderId="0" xfId="0" applyFill="1"/>
    <xf numFmtId="0" fontId="3" fillId="9" borderId="4" xfId="0" applyFont="1" applyFill="1" applyBorder="1"/>
    <xf numFmtId="0" fontId="3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10" fillId="0" borderId="0" xfId="2" applyAlignment="1" applyProtection="1">
      <alignment horizontal="right"/>
    </xf>
    <xf numFmtId="0" fontId="9" fillId="0" borderId="0" xfId="3"/>
    <xf numFmtId="0" fontId="3" fillId="9" borderId="0" xfId="0" applyFont="1" applyFill="1"/>
    <xf numFmtId="0" fontId="11" fillId="10" borderId="8" xfId="3" quotePrefix="1" applyFont="1" applyFill="1" applyBorder="1" applyAlignment="1">
      <alignment horizontal="center" vertical="center" readingOrder="2"/>
    </xf>
    <xf numFmtId="164" fontId="12" fillId="11" borderId="9" xfId="3" applyNumberFormat="1" applyFont="1" applyFill="1" applyBorder="1" applyAlignment="1">
      <alignment horizontal="right" vertical="center" indent="1"/>
    </xf>
    <xf numFmtId="164" fontId="12" fillId="12" borderId="10" xfId="3" applyNumberFormat="1" applyFont="1" applyFill="1" applyBorder="1" applyAlignment="1">
      <alignment horizontal="right" vertical="center" indent="1"/>
    </xf>
    <xf numFmtId="164" fontId="12" fillId="11" borderId="8" xfId="3" applyNumberFormat="1" applyFont="1" applyFill="1" applyBorder="1" applyAlignment="1">
      <alignment horizontal="right" vertical="center" indent="1"/>
    </xf>
    <xf numFmtId="164" fontId="13" fillId="10" borderId="10" xfId="3" applyNumberFormat="1" applyFont="1" applyFill="1" applyBorder="1" applyAlignment="1">
      <alignment horizontal="right" vertical="center" indent="1"/>
    </xf>
    <xf numFmtId="0" fontId="11" fillId="10" borderId="8" xfId="3" applyFont="1" applyFill="1" applyBorder="1" applyAlignment="1">
      <alignment vertical="center" wrapText="1" readingOrder="2"/>
    </xf>
    <xf numFmtId="0" fontId="12" fillId="11" borderId="9" xfId="3" applyFont="1" applyFill="1" applyBorder="1" applyAlignment="1">
      <alignment horizontal="right" vertical="center" readingOrder="2"/>
    </xf>
    <xf numFmtId="0" fontId="12" fillId="12" borderId="10" xfId="3" applyFont="1" applyFill="1" applyBorder="1" applyAlignment="1">
      <alignment horizontal="right" vertical="center" readingOrder="2"/>
    </xf>
    <xf numFmtId="0" fontId="12" fillId="11" borderId="8" xfId="3" applyFont="1" applyFill="1" applyBorder="1" applyAlignment="1">
      <alignment horizontal="right" vertical="center" readingOrder="2"/>
    </xf>
    <xf numFmtId="0" fontId="13" fillId="10" borderId="11" xfId="3" applyFont="1" applyFill="1" applyBorder="1" applyAlignment="1">
      <alignment horizontal="right" vertical="center" wrapText="1" readingOrder="2"/>
    </xf>
    <xf numFmtId="0" fontId="14" fillId="0" borderId="0" xfId="0" applyFont="1"/>
    <xf numFmtId="0" fontId="3" fillId="2" borderId="0" xfId="0" applyFont="1" applyFill="1"/>
    <xf numFmtId="0" fontId="1" fillId="0" borderId="13" xfId="0" applyFont="1" applyBorder="1"/>
    <xf numFmtId="0" fontId="1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0" xfId="3" applyFont="1"/>
    <xf numFmtId="0" fontId="18" fillId="0" borderId="0" xfId="0" applyFont="1"/>
    <xf numFmtId="0" fontId="17" fillId="0" borderId="0" xfId="2" applyFont="1" applyAlignment="1" applyProtection="1">
      <alignment horizontal="right"/>
    </xf>
    <xf numFmtId="0" fontId="19" fillId="0" borderId="0" xfId="2" applyFont="1" applyAlignment="1" applyProtection="1">
      <alignment horizontal="center" vertical="top"/>
    </xf>
    <xf numFmtId="0" fontId="19" fillId="0" borderId="0" xfId="3" applyFont="1"/>
    <xf numFmtId="0" fontId="19" fillId="0" borderId="0" xfId="2" applyFont="1" applyAlignment="1" applyProtection="1">
      <alignment horizontal="left"/>
    </xf>
    <xf numFmtId="0" fontId="19" fillId="0" borderId="0" xfId="0" applyFont="1"/>
    <xf numFmtId="0" fontId="17" fillId="0" borderId="15" xfId="2" applyNumberFormat="1" applyFont="1" applyBorder="1" applyAlignment="1" applyProtection="1">
      <alignment horizontal="right"/>
    </xf>
    <xf numFmtId="0" fontId="17" fillId="0" borderId="16" xfId="2" applyNumberFormat="1" applyFont="1" applyBorder="1" applyAlignment="1" applyProtection="1">
      <alignment horizontal="right"/>
    </xf>
    <xf numFmtId="0" fontId="17" fillId="0" borderId="18" xfId="2" applyNumberFormat="1" applyFont="1" applyBorder="1" applyAlignment="1" applyProtection="1">
      <alignment horizontal="right"/>
    </xf>
    <xf numFmtId="0" fontId="17" fillId="0" borderId="19" xfId="2" applyNumberFormat="1" applyFont="1" applyBorder="1" applyAlignment="1" applyProtection="1">
      <alignment horizontal="right"/>
    </xf>
    <xf numFmtId="0" fontId="18" fillId="13" borderId="0" xfId="0" applyFont="1" applyFill="1"/>
    <xf numFmtId="0" fontId="18" fillId="13" borderId="4" xfId="9" applyFont="1" applyFill="1" applyBorder="1"/>
    <xf numFmtId="0" fontId="1" fillId="13" borderId="0" xfId="0" applyFont="1" applyFill="1"/>
    <xf numFmtId="0" fontId="0" fillId="13" borderId="0" xfId="0" applyFill="1"/>
    <xf numFmtId="0" fontId="3" fillId="13" borderId="4" xfId="0" applyFont="1" applyFill="1" applyBorder="1" applyAlignment="1">
      <alignment horizontal="center"/>
    </xf>
    <xf numFmtId="0" fontId="9" fillId="13" borderId="0" xfId="3" applyFill="1"/>
    <xf numFmtId="0" fontId="18" fillId="0" borderId="14" xfId="3" applyNumberFormat="1" applyFont="1" applyBorder="1" applyAlignment="1"/>
    <xf numFmtId="0" fontId="18" fillId="0" borderId="15" xfId="3" applyNumberFormat="1" applyFont="1" applyBorder="1" applyAlignment="1"/>
    <xf numFmtId="0" fontId="18" fillId="0" borderId="17" xfId="3" applyNumberFormat="1" applyFont="1" applyBorder="1" applyAlignment="1"/>
    <xf numFmtId="0" fontId="18" fillId="0" borderId="18" xfId="3" applyNumberFormat="1" applyFont="1" applyBorder="1" applyAlignment="1"/>
  </cellXfs>
  <cellStyles count="10">
    <cellStyle name="Normal" xfId="0" builtinId="0"/>
    <cellStyle name="Normal 2" xfId="1" xr:uid="{7C1758EE-BB74-4DBB-83DA-36BA92217A8E}"/>
    <cellStyle name="Normal 2 2" xfId="3" xr:uid="{4E489AE4-1D01-4CB9-9235-E3E8FFAE6C0E}"/>
    <cellStyle name="Normal 2 2 2" xfId="8" xr:uid="{6229545D-15C2-424C-924F-79F958C19DE7}"/>
    <cellStyle name="Normal 3" xfId="2" xr:uid="{A10CC4D3-A414-4206-B022-8E8881F65305}"/>
    <cellStyle name="Normal 3 2" xfId="5" xr:uid="{8367A287-9C6F-4A78-BE58-99BA733D4E82}"/>
    <cellStyle name="Normal 4" xfId="4" xr:uid="{21D0B9A5-1343-4795-A6F9-817B521D2AAF}"/>
    <cellStyle name="Normal 5" xfId="6" xr:uid="{640F6D59-6B4C-4814-AD0E-8948D93F5B7C}"/>
    <cellStyle name="Normal 6 2" xfId="9" xr:uid="{7776A3E1-AB8D-4289-9E9C-E7C3EDAA278E}"/>
    <cellStyle name="عادي 2 2 2" xfId="7" xr:uid="{09B893A0-73EF-4BA2-A5B3-20B524BC2220}"/>
  </cellStyles>
  <dxfs count="68">
    <dxf>
      <font>
        <strike val="0"/>
        <outline val="0"/>
        <shadow val="0"/>
        <u val="none"/>
        <vertAlign val="baseline"/>
        <sz val="10"/>
        <color theme="0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SC"/>
        <family val="3"/>
        <scheme val="none"/>
      </font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SC"/>
        <family val="3"/>
        <scheme val="none"/>
      </font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404040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fill>
        <patternFill patternType="solid">
          <fgColor indexed="64"/>
          <bgColor rgb="FFB58400"/>
        </patternFill>
      </fill>
    </dxf>
    <dxf>
      <font>
        <strike val="0"/>
        <outline val="0"/>
        <shadow val="0"/>
        <u val="none"/>
        <vertAlign val="baseline"/>
        <sz val="1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name val="DSC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SC"/>
        <family val="3"/>
        <scheme val="none"/>
      </font>
      <fill>
        <patternFill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DSC"/>
        <family val="3"/>
        <scheme val="none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SC"/>
        <family val="3"/>
        <scheme val="none"/>
      </font>
      <fill>
        <patternFill patternType="solid">
          <fgColor indexed="64"/>
          <bgColor rgb="FFB58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96B4FD-FAF9-4742-8618-CCF7A8C2B2B1}" name="Table8" displayName="Table8" ref="A1:F27" totalsRowShown="0" headerRowDxfId="60" dataDxfId="59">
  <autoFilter ref="A1:F27" xr:uid="{4E96B4FD-FAF9-4742-8618-CCF7A8C2B2B1}"/>
  <tableColumns count="6">
    <tableColumn id="1" xr3:uid="{68C83F40-710C-4B8E-9307-7E31D65CEDCE}" name="Year" dataDxfId="58"/>
    <tableColumn id="2" xr3:uid="{0016F791-C094-4801-9645-EDE586898E0D}" name="نمو الأنشطة النفطية %" dataDxfId="57"/>
    <tableColumn id="3" xr3:uid="{3F458FD1-DB31-4A74-B319-BFA3A5CB6D58}" name="نمو الأنشطة غير النفطية %" dataDxfId="56"/>
    <tableColumn id="4" xr3:uid="{4DF690CF-BB11-40E2-A62B-9602D91C4866}" name="نمو الأنشطة الحكومية % " dataDxfId="55"/>
    <tableColumn id="7" xr3:uid="{8A5A3A2A-FEAF-4C59-B07C-F49B8CBD0C9C}" name="نمو الناتج المحلي الحقيقي % " dataDxfId="54"/>
    <tableColumn id="5" xr3:uid="{60000E90-0140-4F78-8A64-0A6BE3922655}" name="معدل نمو الناتج المحلي الإجمالي بالأسعار الجارية 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5739E1-9B9A-4C40-A806-F8E93A048810}" name="Table6" displayName="Table6" ref="G1:L27" totalsRowShown="0" headerRowDxfId="52" dataDxfId="51">
  <autoFilter ref="G1:L27" xr:uid="{905739E1-9B9A-4C40-A806-F8E93A048810}"/>
  <tableColumns count="6">
    <tableColumn id="1" xr3:uid="{4C3E9E0F-C799-4E09-B2E1-A6B5A568F916}" name="الإيرادات النفطية (مليون ) " dataDxfId="50"/>
    <tableColumn id="2" xr3:uid="{782C3A03-7D9F-422F-A1F9-A25C7F3AD8FA}" name="الإيرادات غير النفطية (مليون) " dataDxfId="49"/>
    <tableColumn id="3" xr3:uid="{ADEA092D-45FD-430F-9791-208B40A60FD0}" name="اجمالي الإيرادات (مليون) " dataDxfId="48"/>
    <tableColumn id="4" xr3:uid="{DEE12621-0BA8-46DF-BEBA-B8409F6C4D59}" name="النفقات التشغيلية (مليون) " dataDxfId="47"/>
    <tableColumn id="5" xr3:uid="{9373EB45-17BA-4308-9BE5-938A81941BE9}" name="النفقات الرأسمالية  (مليون) " dataDxfId="46"/>
    <tableColumn id="6" xr3:uid="{B8904144-8654-4AC9-853D-7888B716F78E}" name="اجمالي الانفاق  (مليون) " dataDxfId="45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FAFFAD-544E-4D0B-A391-AA7B60695299}" name="Table25" displayName="Table25" ref="A1:B26" totalsRowShown="0" headerRowDxfId="44" dataDxfId="43">
  <autoFilter ref="A1:B26" xr:uid="{D4FAFFAD-544E-4D0B-A391-AA7B60695299}"/>
  <tableColumns count="2">
    <tableColumn id="1" xr3:uid="{1EB8D34D-CAA4-4A32-9F1C-9071361314D3}" name="Year" dataDxfId="42"/>
    <tableColumn id="2" xr3:uid="{45925782-7E8C-4BE5-9FB5-FB808529732D}" name="معدل التضخم , أسعار المستهلك" dataDxfId="4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D6AEA8-7887-4644-B934-393EC324DB15}" name="Table28" displayName="Table28" ref="A1:E1048576" totalsRowShown="0" headerRowDxfId="67" dataDxfId="66">
  <autoFilter ref="A1:E1048576" xr:uid="{77D6AEA8-7887-4644-B934-393EC324DB15}"/>
  <tableColumns count="5">
    <tableColumn id="1" xr3:uid="{3B88A1E0-B077-4410-B7A1-6DBF07B66D21}" name="Year" dataDxfId="65"/>
    <tableColumn id="2" xr3:uid="{15B71F37-75D3-4AB1-8D71-F3256519ACBA}" name="الصادرات(مليار)" dataDxfId="64"/>
    <tableColumn id="4" xr3:uid="{3452ED20-F696-4059-A166-B21F1515DDEC}" name="الواردات(مليار)" dataDxfId="63"/>
    <tableColumn id="3" xr3:uid="{0DEBBEC6-66B6-4494-8DD3-CE4D6DBA390D}" name="الميزان التجاري (مليار) " dataDxfId="62"/>
    <tableColumn id="5" xr3:uid="{36EA2547-64AC-4697-A553-2EDF5F6CA73F}" name="ميزان الحساب الجاري (مليار) " dataDxfId="6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6D4676-077A-4227-B758-93B04ED39E45}" name="Table2" displayName="Table2" ref="A1:U27" totalsRowShown="0" headerRowDxfId="29" dataDxfId="28">
  <autoFilter ref="A1:U27" xr:uid="{C86D4676-077A-4227-B758-93B04ED39E45}"/>
  <tableColumns count="21">
    <tableColumn id="1" xr3:uid="{3B95D1DB-9616-4767-9034-F55BCDFA6682}" name="Year" dataDxfId="27"/>
    <tableColumn id="2" xr3:uid="{F8EECA8B-D96C-4BE8-8247-51FCC9DE1E61}" name="نمو الأنشطة النفطية %" dataDxfId="26"/>
    <tableColumn id="3" xr3:uid="{DAA2D229-AE36-4E67-ACA2-A1D49EE39863}" name="نمو الأنشطة غير النفطية %" dataDxfId="25"/>
    <tableColumn id="4" xr3:uid="{341D30F1-0BAF-4029-B143-DC9124F0F1C2}" name="نمو الأنشطة الحكومية % " dataDxfId="24"/>
    <tableColumn id="5" xr3:uid="{070AF869-FC28-4C1A-A687-CBAFCC9097CD}" name="نمو الناتج المحلي الحقيقي % " dataDxfId="23"/>
    <tableColumn id="6" xr3:uid="{1EBD57FA-60F1-4C0B-AEBE-7E884EB00E05}" name="معدل نمو الناتج المحلي الإجمالي بالأسعار الجارية " dataDxfId="22"/>
    <tableColumn id="7" xr3:uid="{32261396-60EB-4111-9133-D522FC947BF9}" name="الإيرادات النفطية (مليون ) " dataDxfId="21"/>
    <tableColumn id="8" xr3:uid="{678ABDB4-1263-413F-81F5-E92A8C0B8A78}" name="الإيرادات غير النفطية (مليون) " dataDxfId="20"/>
    <tableColumn id="9" xr3:uid="{B7B88B3C-3919-48DD-A519-0D65D93C1074}" name="اجمالي الإيرادات (مليون) " dataDxfId="19"/>
    <tableColumn id="10" xr3:uid="{09C505D2-3C30-4D14-9489-4D525B24B01B}" name="النفقات التشغيلية (مليون) " dataDxfId="18"/>
    <tableColumn id="11" xr3:uid="{934AFC4D-C650-4782-B54F-1CF8FBCB46C3}" name="النفقات الرأسمالية  (مليون) " dataDxfId="17"/>
    <tableColumn id="12" xr3:uid="{3E7F5B7E-4C1F-41F2-8753-AD3C843F6921}" name="معدل البطالة للذكور " dataDxfId="16"/>
    <tableColumn id="13" xr3:uid="{09193863-E3F5-4127-BF04-BA84D6A157BD}" name="معدل البطالة للاناث " dataDxfId="15"/>
    <tableColumn id="14" xr3:uid="{534B1EAD-BA81-4787-AC76-92AE7FE5C994}" name="معدل البطالة الاجمالي " dataDxfId="14"/>
    <tableColumn id="15" xr3:uid="{2D3BDC73-6212-48FF-BBD9-5463F6DB20DC}" name="معدل التضخم , أسعار المستهلك" dataDxfId="13"/>
    <tableColumn id="16" xr3:uid="{38D8CDEC-ABD5-42BA-B56D-B48FA7440E28}" name="عرض النقود M1 (مليون)" dataDxfId="12"/>
    <tableColumn id="17" xr3:uid="{EACE7E00-71D4-4D22-84E8-AB1C2AAA228D}" name="عرض النقود M2 (مليون) " dataDxfId="11"/>
    <tableColumn id="18" xr3:uid="{75C3F1B2-2894-49B9-A677-4AFDEF5B789A}" name="عرض النقود M3 (مليون)" dataDxfId="10"/>
    <tableColumn id="19" xr3:uid="{52028A86-3102-4D8A-92FB-459D226E7C7B}" name="RR معدل الشراء " dataDxfId="9"/>
    <tableColumn id="20" xr3:uid="{762F0627-2470-4B3D-8263-CD105D2AFE88}" name="RRRمعدل إعادة الشراء " dataDxfId="8"/>
    <tableColumn id="21" xr3:uid="{14F8B9FE-1C25-4C8E-BC89-D7BEB8607DDE}" name="Monthly Avg. 3M SAIBOR " dataDxfId="7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14554E-ED79-4CBA-971B-4C0126AD0FF1}" name="Table3" displayName="Table3" ref="A1:E32" totalsRowShown="0" headerRowDxfId="0" dataDxfId="1" dataCellStyle="Normal 2 2">
  <autoFilter ref="A1:E32" xr:uid="{CB14554E-ED79-4CBA-971B-4C0126AD0FF1}"/>
  <tableColumns count="5">
    <tableColumn id="1" xr3:uid="{1C8DA2D6-E425-44AF-B9D7-9D019E9CF8C2}" name="Year" dataDxfId="6" dataCellStyle="Normal 2 2"/>
    <tableColumn id="2" xr3:uid="{5712925A-E2E5-4A75-8136-65E76534B613}" name="الناتج المحلي الحقيقي الفعلي " dataDxfId="5" dataCellStyle="Normal 2 2"/>
    <tableColumn id="3" xr3:uid="{2867D98D-977D-4208-9B6C-AD00EE1F7F08}" name="توقعات نموذج هولت   " dataDxfId="4" dataCellStyle="Normal 2 2"/>
    <tableColumn id="4" xr3:uid="{B123E947-E18C-4E09-A14A-E6BFF73E6DF2}" name="توقعات وزارة المالية " dataDxfId="3" dataCellStyle="Normal 3"/>
    <tableColumn id="5" xr3:uid="{5A06BA12-E6A8-4186-9041-B772384D6401}" name="توقعات صندوق النقد الدولي " dataDxfId="2" dataCellStyle="Normal 3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D1E7-2288-4F41-BFF7-F94A3528ACD8}" name="Table282" displayName="Table282" ref="A1:I26" totalsRowShown="0" headerRowDxfId="40" dataDxfId="39">
  <autoFilter ref="A1:I26" xr:uid="{77D6AEA8-7887-4644-B934-393EC324DB15}"/>
  <tableColumns count="9">
    <tableColumn id="1" xr3:uid="{DC35906D-B79C-4DF2-99B3-FB49F19CE7DF}" name="Year" dataDxfId="38"/>
    <tableColumn id="2" xr3:uid="{0C04DB0D-75AB-4A1D-9499-C690A1C6ABC0}" name="الصادرات" dataDxfId="37"/>
    <tableColumn id="5" xr3:uid="{FC49A6A6-4D2B-4CD5-823D-7C297FEA3047}" name="الصادرات(مليار)" dataDxfId="36">
      <calculatedColumnFormula xml:space="preserve"> Table282[[#This Row],[الصادرات]]/1000</calculatedColumnFormula>
    </tableColumn>
    <tableColumn id="4" xr3:uid="{EC74B499-7B92-4092-990C-709453740C82}" name="الواردات" dataDxfId="35"/>
    <tableColumn id="7" xr3:uid="{A909B7CD-A240-4CC2-AFB3-7FCE811C59C8}" name="الواردات(مليار)" dataDxfId="34">
      <calculatedColumnFormula xml:space="preserve"> Table282[[#This Row],[الواردات]]/1000</calculatedColumnFormula>
    </tableColumn>
    <tableColumn id="8" xr3:uid="{37FEB747-39C0-4D21-A332-B61795874636}" name="الميزان التجاري" dataDxfId="33"/>
    <tableColumn id="11" xr3:uid="{AD2BB9BE-7AA2-4772-9C16-1AC9A16E7FC5}" name="الميزان التجاري (مليار) " dataDxfId="32">
      <calculatedColumnFormula>Table282[[#This Row],[الميزان التجاري]]/1000</calculatedColumnFormula>
    </tableColumn>
    <tableColumn id="9" xr3:uid="{B2BB42D2-483C-489F-988E-E8396E1288E0}" name="ميزان الحساب الجاري2" dataDxfId="31"/>
    <tableColumn id="12" xr3:uid="{8504C332-2E80-402A-A0B2-AF25EC640688}" name="ميزان الحساب الجاري (مليار) " dataDxfId="30">
      <calculatedColumnFormula>Table282[[#This Row],[ميزان الحساب الجاري2]]/1000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SC">
      <a:dk1>
        <a:srgbClr val="404040"/>
      </a:dk1>
      <a:lt1>
        <a:srgbClr val="FFFFFF"/>
      </a:lt1>
      <a:dk2>
        <a:srgbClr val="1B365D"/>
      </a:dk2>
      <a:lt2>
        <a:srgbClr val="FFFFFF"/>
      </a:lt2>
      <a:accent1>
        <a:srgbClr val="B58500"/>
      </a:accent1>
      <a:accent2>
        <a:srgbClr val="286140"/>
      </a:accent2>
      <a:accent3>
        <a:srgbClr val="C7C8CA"/>
      </a:accent3>
      <a:accent4>
        <a:srgbClr val="6BCABA"/>
      </a:accent4>
      <a:accent5>
        <a:srgbClr val="6E6159"/>
      </a:accent5>
      <a:accent6>
        <a:srgbClr val="952E46"/>
      </a:accent6>
      <a:hlink>
        <a:srgbClr val="1B365D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18EE-764B-4607-8CCB-B9DAE8C67D3C}">
  <dimension ref="A1:L27"/>
  <sheetViews>
    <sheetView topLeftCell="A12" zoomScale="50" workbookViewId="0">
      <selection activeCell="H1" sqref="H1"/>
    </sheetView>
  </sheetViews>
  <sheetFormatPr defaultRowHeight="14.5"/>
  <cols>
    <col min="1" max="1" width="8.26953125" bestFit="1" customWidth="1"/>
    <col min="2" max="2" width="18.26953125" bestFit="1" customWidth="1"/>
    <col min="3" max="3" width="24.453125" bestFit="1" customWidth="1"/>
    <col min="4" max="4" width="25.36328125" bestFit="1" customWidth="1"/>
    <col min="5" max="5" width="30.54296875" bestFit="1" customWidth="1"/>
    <col min="6" max="6" width="50.08984375" bestFit="1" customWidth="1"/>
    <col min="7" max="7" width="24.6328125" customWidth="1"/>
    <col min="8" max="8" width="27.7265625" customWidth="1"/>
    <col min="9" max="9" width="23.81640625" customWidth="1"/>
    <col min="10" max="10" width="24.453125" customWidth="1"/>
    <col min="11" max="11" width="18.7265625" customWidth="1"/>
    <col min="12" max="12" width="15.1796875" customWidth="1"/>
  </cols>
  <sheetData>
    <row r="1" spans="1:12" s="10" customFormat="1" ht="24.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8" t="s">
        <v>1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</row>
    <row r="2" spans="1:12" ht="24.5">
      <c r="A2" s="1">
        <v>2000</v>
      </c>
      <c r="B2" s="1">
        <v>6.97</v>
      </c>
      <c r="C2" s="1">
        <v>4.33</v>
      </c>
      <c r="D2" s="1">
        <v>3</v>
      </c>
      <c r="E2" s="1">
        <v>4.72</v>
      </c>
      <c r="F2" s="4">
        <v>17.190000000000001</v>
      </c>
      <c r="G2" s="6">
        <v>214424</v>
      </c>
      <c r="H2" s="6">
        <v>43641</v>
      </c>
      <c r="I2" s="6">
        <v>258065</v>
      </c>
      <c r="J2" s="6">
        <v>216958</v>
      </c>
      <c r="K2" s="6">
        <v>18364</v>
      </c>
      <c r="L2" s="6">
        <v>235322</v>
      </c>
    </row>
    <row r="3" spans="1:12" ht="24.5">
      <c r="A3" s="1">
        <v>2001</v>
      </c>
      <c r="B3" s="1">
        <v>-3.92</v>
      </c>
      <c r="C3" s="1">
        <v>3.89</v>
      </c>
      <c r="D3" s="1">
        <v>2.3199999999999998</v>
      </c>
      <c r="E3" s="1">
        <v>0.34</v>
      </c>
      <c r="F3" s="4">
        <v>-2.84</v>
      </c>
      <c r="G3" s="6">
        <v>183915</v>
      </c>
      <c r="H3" s="6">
        <v>44244</v>
      </c>
      <c r="I3" s="6">
        <v>228159</v>
      </c>
      <c r="J3" s="6">
        <v>223508</v>
      </c>
      <c r="K3" s="6">
        <v>31632</v>
      </c>
      <c r="L3" s="6">
        <v>255140</v>
      </c>
    </row>
    <row r="4" spans="1:12" ht="24.5">
      <c r="A4" s="1">
        <v>2002</v>
      </c>
      <c r="B4" s="1">
        <v>-7.26</v>
      </c>
      <c r="C4" s="1">
        <v>3.79</v>
      </c>
      <c r="D4" s="1">
        <v>2.41</v>
      </c>
      <c r="E4" s="1">
        <v>-0.69</v>
      </c>
      <c r="F4" s="4">
        <v>2.97</v>
      </c>
      <c r="G4" s="6">
        <v>166100</v>
      </c>
      <c r="H4" s="6">
        <v>46900</v>
      </c>
      <c r="I4" s="6">
        <v>213000</v>
      </c>
      <c r="J4" s="6">
        <v>203500</v>
      </c>
      <c r="K4" s="6">
        <v>30000</v>
      </c>
      <c r="L4" s="6">
        <v>233500</v>
      </c>
    </row>
    <row r="5" spans="1:12" ht="24.5">
      <c r="A5" s="1">
        <v>2003</v>
      </c>
      <c r="B5" s="1">
        <v>17.239999999999998</v>
      </c>
      <c r="C5" s="1">
        <v>4.37</v>
      </c>
      <c r="D5" s="1">
        <v>2.61</v>
      </c>
      <c r="E5" s="1">
        <v>8.77</v>
      </c>
      <c r="F5" s="4">
        <v>13.82</v>
      </c>
      <c r="G5" s="6">
        <v>231000</v>
      </c>
      <c r="H5" s="6">
        <v>62000</v>
      </c>
      <c r="I5" s="6">
        <v>293000</v>
      </c>
      <c r="J5" s="6">
        <v>223530</v>
      </c>
      <c r="K5" s="6">
        <v>33470</v>
      </c>
      <c r="L5" s="6">
        <v>257000</v>
      </c>
    </row>
    <row r="6" spans="1:12" ht="24.5">
      <c r="A6" s="1">
        <v>2004</v>
      </c>
      <c r="B6" s="1">
        <v>7.05</v>
      </c>
      <c r="C6" s="1">
        <v>13.26</v>
      </c>
      <c r="D6" s="1">
        <v>2.1800000000000002</v>
      </c>
      <c r="E6" s="1">
        <v>8.6300000000000008</v>
      </c>
      <c r="F6" s="4">
        <v>19.89</v>
      </c>
      <c r="G6" s="6">
        <v>330000</v>
      </c>
      <c r="H6" s="6">
        <v>62291</v>
      </c>
      <c r="I6" s="6">
        <v>392291</v>
      </c>
      <c r="J6" s="6">
        <v>247649</v>
      </c>
      <c r="K6" s="6">
        <v>37551</v>
      </c>
      <c r="L6" s="6">
        <v>285200</v>
      </c>
    </row>
    <row r="7" spans="1:12" ht="24.5">
      <c r="A7" s="1">
        <v>2005</v>
      </c>
      <c r="B7" s="1">
        <v>4.2300000000000004</v>
      </c>
      <c r="C7" s="1">
        <v>9.44</v>
      </c>
      <c r="D7" s="1">
        <v>3.34</v>
      </c>
      <c r="E7" s="1">
        <v>5.94</v>
      </c>
      <c r="F7" s="4">
        <v>26.85</v>
      </c>
      <c r="G7" s="6">
        <v>504540</v>
      </c>
      <c r="H7" s="6">
        <v>59795</v>
      </c>
      <c r="I7" s="6">
        <v>564335</v>
      </c>
      <c r="J7" s="6">
        <v>284173</v>
      </c>
      <c r="K7" s="6">
        <v>62301</v>
      </c>
      <c r="L7" s="6">
        <v>346474</v>
      </c>
    </row>
    <row r="8" spans="1:12" ht="24.5">
      <c r="A8" s="1">
        <v>2006</v>
      </c>
      <c r="B8" s="1">
        <v>-1.43</v>
      </c>
      <c r="C8" s="1">
        <v>11.5</v>
      </c>
      <c r="D8" s="1">
        <v>1.89</v>
      </c>
      <c r="E8" s="1">
        <v>3.31</v>
      </c>
      <c r="F8" s="4">
        <v>14.68</v>
      </c>
      <c r="G8" s="6">
        <v>604470</v>
      </c>
      <c r="H8" s="6">
        <v>69212</v>
      </c>
      <c r="I8" s="6">
        <v>673682</v>
      </c>
      <c r="J8" s="6">
        <v>322411</v>
      </c>
      <c r="K8" s="6">
        <v>70911</v>
      </c>
      <c r="L8" s="6">
        <v>393322</v>
      </c>
    </row>
    <row r="9" spans="1:12" ht="24.5">
      <c r="A9" s="1">
        <v>2007</v>
      </c>
      <c r="B9" s="1">
        <v>-4.0199999999999996</v>
      </c>
      <c r="C9" s="1">
        <v>12.12</v>
      </c>
      <c r="D9" s="1">
        <v>1.93</v>
      </c>
      <c r="E9" s="1">
        <v>2.21</v>
      </c>
      <c r="F9" s="4">
        <v>10.44</v>
      </c>
      <c r="G9" s="6">
        <v>562186</v>
      </c>
      <c r="H9" s="6">
        <v>80614</v>
      </c>
      <c r="I9" s="6">
        <v>642800</v>
      </c>
      <c r="J9" s="6">
        <v>347199</v>
      </c>
      <c r="K9" s="6">
        <v>119049</v>
      </c>
      <c r="L9" s="6">
        <v>466248</v>
      </c>
    </row>
    <row r="10" spans="1:12" ht="24.5">
      <c r="A10" s="1">
        <v>2008</v>
      </c>
      <c r="B10" s="1">
        <v>4.43</v>
      </c>
      <c r="C10" s="1">
        <v>10.33</v>
      </c>
      <c r="D10" s="1">
        <v>2.39</v>
      </c>
      <c r="E10" s="1">
        <v>6.24</v>
      </c>
      <c r="F10" s="4">
        <v>25.05</v>
      </c>
      <c r="G10" s="6">
        <v>983369</v>
      </c>
      <c r="H10" s="6">
        <v>117624</v>
      </c>
      <c r="I10" s="6">
        <v>1100993</v>
      </c>
      <c r="J10" s="6">
        <v>388839</v>
      </c>
      <c r="K10" s="6">
        <v>131230</v>
      </c>
      <c r="L10" s="6">
        <v>520069</v>
      </c>
    </row>
    <row r="11" spans="1:12" ht="24.5">
      <c r="A11" s="1">
        <v>2009</v>
      </c>
      <c r="B11" s="1">
        <v>-9.64</v>
      </c>
      <c r="C11" s="1">
        <v>6.27</v>
      </c>
      <c r="D11" s="1">
        <v>5.03</v>
      </c>
      <c r="E11" s="1">
        <v>-1.07</v>
      </c>
      <c r="F11" s="4">
        <v>-17.45</v>
      </c>
      <c r="G11" s="6">
        <v>434420</v>
      </c>
      <c r="H11" s="6">
        <v>75385</v>
      </c>
      <c r="I11" s="6">
        <v>509805</v>
      </c>
      <c r="J11" s="6">
        <v>416594</v>
      </c>
      <c r="K11" s="6">
        <v>179840</v>
      </c>
      <c r="L11" s="6">
        <v>596434</v>
      </c>
    </row>
    <row r="12" spans="1:12" ht="24.5">
      <c r="A12" s="1">
        <v>2010</v>
      </c>
      <c r="B12" s="1">
        <v>-0.21</v>
      </c>
      <c r="C12" s="1">
        <v>10.55</v>
      </c>
      <c r="D12" s="1">
        <v>6.83</v>
      </c>
      <c r="E12" s="1">
        <v>5.04</v>
      </c>
      <c r="F12" s="4">
        <v>23.1</v>
      </c>
      <c r="G12" s="6">
        <v>670235</v>
      </c>
      <c r="H12" s="6">
        <v>70637</v>
      </c>
      <c r="I12" s="6">
        <v>740872</v>
      </c>
      <c r="J12" s="6">
        <v>483996</v>
      </c>
      <c r="K12" s="6">
        <v>169890</v>
      </c>
      <c r="L12" s="6">
        <v>653886</v>
      </c>
    </row>
    <row r="13" spans="1:12" ht="24.5">
      <c r="A13" s="1">
        <v>2011</v>
      </c>
      <c r="B13" s="1">
        <v>12.36</v>
      </c>
      <c r="C13" s="1">
        <v>12.35</v>
      </c>
      <c r="D13" s="1">
        <v>7.86</v>
      </c>
      <c r="E13" s="1">
        <v>11.76</v>
      </c>
      <c r="F13" s="4">
        <v>28.86</v>
      </c>
      <c r="G13" s="6">
        <v>1034362</v>
      </c>
      <c r="H13" s="6">
        <v>83165</v>
      </c>
      <c r="I13" s="6">
        <v>1117527</v>
      </c>
      <c r="J13" s="6">
        <v>583895</v>
      </c>
      <c r="K13" s="6">
        <v>242805</v>
      </c>
      <c r="L13" s="6">
        <v>826700</v>
      </c>
    </row>
    <row r="14" spans="1:12" ht="24.5">
      <c r="A14" s="1">
        <v>2012</v>
      </c>
      <c r="B14" s="1">
        <v>5.0999999999999996</v>
      </c>
      <c r="C14" s="1">
        <v>6.56</v>
      </c>
      <c r="D14" s="1">
        <v>5.39</v>
      </c>
      <c r="E14" s="1">
        <v>5.76</v>
      </c>
      <c r="F14" s="4">
        <v>10.47</v>
      </c>
      <c r="G14" s="6">
        <v>1144818</v>
      </c>
      <c r="H14" s="6">
        <v>101720</v>
      </c>
      <c r="I14" s="6">
        <v>1246538</v>
      </c>
      <c r="J14" s="6">
        <v>713330</v>
      </c>
      <c r="K14" s="6">
        <v>203868</v>
      </c>
      <c r="L14" s="6">
        <v>917198</v>
      </c>
    </row>
    <row r="15" spans="1:12" ht="24.5">
      <c r="A15" s="1">
        <v>2013</v>
      </c>
      <c r="B15" s="1">
        <v>-1.63</v>
      </c>
      <c r="C15" s="1">
        <v>8.11</v>
      </c>
      <c r="D15" s="1">
        <v>4.8600000000000003</v>
      </c>
      <c r="E15" s="1">
        <v>2.95</v>
      </c>
      <c r="F15" s="4">
        <v>2.37</v>
      </c>
      <c r="G15" s="6">
        <v>1035048</v>
      </c>
      <c r="H15" s="6">
        <v>117564</v>
      </c>
      <c r="I15" s="6">
        <v>1152612</v>
      </c>
      <c r="J15" s="6">
        <v>731873</v>
      </c>
      <c r="K15" s="6">
        <v>262861</v>
      </c>
      <c r="L15" s="6">
        <v>994734</v>
      </c>
    </row>
    <row r="16" spans="1:12" ht="24.5">
      <c r="A16" s="1">
        <v>2014</v>
      </c>
      <c r="B16" s="1">
        <v>1.82</v>
      </c>
      <c r="C16" s="1">
        <v>6.65</v>
      </c>
      <c r="D16" s="1">
        <v>3.31</v>
      </c>
      <c r="E16" s="1">
        <v>4.0199999999999996</v>
      </c>
      <c r="F16" s="4">
        <v>2.2599999999999998</v>
      </c>
      <c r="G16" s="6">
        <v>913347</v>
      </c>
      <c r="H16" s="6">
        <v>126794</v>
      </c>
      <c r="I16" s="6">
        <v>1040141</v>
      </c>
      <c r="J16" s="6">
        <v>821160</v>
      </c>
      <c r="K16" s="6">
        <v>319443</v>
      </c>
      <c r="L16" s="6">
        <v>1140603</v>
      </c>
    </row>
    <row r="17" spans="1:12" ht="24.5">
      <c r="A17" s="1">
        <v>2015</v>
      </c>
      <c r="B17" s="1">
        <v>5.18</v>
      </c>
      <c r="C17" s="1">
        <v>4.92</v>
      </c>
      <c r="D17" s="1">
        <v>2.2599999999999998</v>
      </c>
      <c r="E17" s="1">
        <v>4.66</v>
      </c>
      <c r="F17" s="4">
        <v>-11.91</v>
      </c>
      <c r="G17" s="6">
        <v>446432</v>
      </c>
      <c r="H17" s="6">
        <v>166261</v>
      </c>
      <c r="I17" s="6">
        <v>612693</v>
      </c>
      <c r="J17" s="6">
        <v>790979</v>
      </c>
      <c r="K17" s="6">
        <v>210313</v>
      </c>
      <c r="L17" s="6">
        <v>1001292</v>
      </c>
    </row>
    <row r="18" spans="1:12" ht="24.5">
      <c r="A18" s="1">
        <v>2016</v>
      </c>
      <c r="B18" s="1">
        <v>3.83</v>
      </c>
      <c r="C18" s="1">
        <v>1.78</v>
      </c>
      <c r="D18" s="1">
        <v>-0.36</v>
      </c>
      <c r="E18" s="1">
        <v>1.7</v>
      </c>
      <c r="F18" s="4">
        <v>-0.6</v>
      </c>
      <c r="G18" s="6">
        <v>333699</v>
      </c>
      <c r="H18" s="6">
        <v>185749</v>
      </c>
      <c r="I18" s="6">
        <v>519448</v>
      </c>
      <c r="J18" s="6">
        <v>696358</v>
      </c>
      <c r="K18" s="6">
        <v>134155</v>
      </c>
      <c r="L18" s="6">
        <v>830513</v>
      </c>
    </row>
    <row r="19" spans="1:12" ht="24.5">
      <c r="A19" s="1">
        <v>2017</v>
      </c>
      <c r="B19" s="1">
        <v>-2.95</v>
      </c>
      <c r="C19" s="1">
        <v>3.22</v>
      </c>
      <c r="D19" s="1">
        <v>0.28999999999999998</v>
      </c>
      <c r="E19" s="1">
        <v>1.18</v>
      </c>
      <c r="F19" s="4">
        <v>7.54</v>
      </c>
      <c r="G19" s="6">
        <v>435900</v>
      </c>
      <c r="H19" s="6">
        <v>255605</v>
      </c>
      <c r="I19" s="6">
        <v>691505</v>
      </c>
      <c r="J19" s="6">
        <v>722208</v>
      </c>
      <c r="K19" s="6">
        <v>207791</v>
      </c>
      <c r="L19" s="6">
        <v>929997</v>
      </c>
    </row>
    <row r="20" spans="1:12" ht="24.5">
      <c r="A20" s="1">
        <v>2018</v>
      </c>
      <c r="B20" s="1">
        <v>2.86</v>
      </c>
      <c r="C20" s="1">
        <v>3.22</v>
      </c>
      <c r="D20" s="1">
        <v>3.87</v>
      </c>
      <c r="E20" s="1">
        <v>3.23</v>
      </c>
      <c r="F20" s="4">
        <v>19.600000000000001</v>
      </c>
      <c r="G20" s="6">
        <v>611239</v>
      </c>
      <c r="H20" s="6">
        <v>294370</v>
      </c>
      <c r="I20" s="6">
        <v>905609</v>
      </c>
      <c r="J20" s="6">
        <v>891146.85147750995</v>
      </c>
      <c r="K20" s="6">
        <v>188320.42986037</v>
      </c>
      <c r="L20" s="6">
        <v>1079467</v>
      </c>
    </row>
    <row r="21" spans="1:12" ht="24.5">
      <c r="A21" s="1">
        <v>2019</v>
      </c>
      <c r="B21" s="1">
        <v>-3.94</v>
      </c>
      <c r="C21" s="1">
        <v>4.8600000000000003</v>
      </c>
      <c r="D21" s="1">
        <v>1.73</v>
      </c>
      <c r="E21" s="1">
        <v>1.65</v>
      </c>
      <c r="F21" s="4">
        <v>0.26</v>
      </c>
      <c r="G21" s="6">
        <v>594424</v>
      </c>
      <c r="H21" s="6">
        <v>332422</v>
      </c>
      <c r="I21" s="6">
        <v>926846</v>
      </c>
      <c r="J21" s="6">
        <v>889996</v>
      </c>
      <c r="K21" s="6">
        <v>169449</v>
      </c>
      <c r="L21" s="6">
        <v>1059444.93</v>
      </c>
    </row>
    <row r="22" spans="1:12" ht="24.5">
      <c r="A22" s="1">
        <v>2020</v>
      </c>
      <c r="B22" s="1">
        <v>-6.89</v>
      </c>
      <c r="C22" s="1">
        <v>-3.02</v>
      </c>
      <c r="D22" s="1">
        <v>-0.6</v>
      </c>
      <c r="E22" s="1">
        <v>-3.8</v>
      </c>
      <c r="F22" s="4">
        <v>-13.61</v>
      </c>
      <c r="G22" s="6">
        <v>413049</v>
      </c>
      <c r="H22" s="6">
        <v>368785</v>
      </c>
      <c r="I22" s="6">
        <v>781834</v>
      </c>
      <c r="J22" s="6">
        <v>920646.37804639002</v>
      </c>
      <c r="K22" s="6">
        <v>155087.58649598001</v>
      </c>
      <c r="L22" s="6">
        <v>1075734.35090337</v>
      </c>
    </row>
    <row r="23" spans="1:12" ht="24.5">
      <c r="A23" s="1">
        <v>2021</v>
      </c>
      <c r="B23" s="1">
        <v>1.22</v>
      </c>
      <c r="C23" s="1">
        <v>10.23</v>
      </c>
      <c r="D23" s="1">
        <v>1.1299999999999999</v>
      </c>
      <c r="E23" s="1">
        <v>6.52</v>
      </c>
      <c r="F23" s="4">
        <v>27.96</v>
      </c>
      <c r="G23" s="6">
        <v>562191</v>
      </c>
      <c r="H23" s="6">
        <v>403295</v>
      </c>
      <c r="I23" s="6">
        <v>965486</v>
      </c>
      <c r="J23" s="6">
        <v>921715.75464652502</v>
      </c>
      <c r="K23" s="6">
        <v>117217.27438620001</v>
      </c>
      <c r="L23" s="6">
        <v>1038933.0750877199</v>
      </c>
    </row>
    <row r="24" spans="1:12" ht="24.5">
      <c r="A24" s="1">
        <v>2022</v>
      </c>
      <c r="B24" s="1">
        <v>14.96</v>
      </c>
      <c r="C24" s="1">
        <v>12.41</v>
      </c>
      <c r="D24" s="1">
        <v>4.6399999999999997</v>
      </c>
      <c r="E24" s="1">
        <v>12</v>
      </c>
      <c r="F24" s="4">
        <v>26.09</v>
      </c>
      <c r="G24" s="6">
        <v>857271.75581132504</v>
      </c>
      <c r="H24" s="6">
        <v>410891.39162155997</v>
      </c>
      <c r="I24" s="6">
        <v>1268164</v>
      </c>
      <c r="J24" s="6">
        <v>1020845</v>
      </c>
      <c r="K24" s="6">
        <v>143464</v>
      </c>
      <c r="L24" s="6">
        <v>1164309</v>
      </c>
    </row>
    <row r="25" spans="1:12" ht="24.5">
      <c r="A25" s="1">
        <v>2023</v>
      </c>
      <c r="B25" s="1">
        <v>-9.0500000000000007</v>
      </c>
      <c r="C25" s="1">
        <v>6.96</v>
      </c>
      <c r="D25" s="1">
        <v>1.1000000000000001</v>
      </c>
      <c r="E25" s="1">
        <v>0.54</v>
      </c>
      <c r="F25" s="4">
        <v>-1.65</v>
      </c>
      <c r="G25" s="6">
        <v>754561.76612831198</v>
      </c>
      <c r="H25" s="6">
        <v>457727.83454693999</v>
      </c>
      <c r="I25" s="6">
        <v>1212289.6006752499</v>
      </c>
      <c r="J25" s="6">
        <v>1106739.7316769699</v>
      </c>
      <c r="K25" s="6">
        <v>186496.36016422001</v>
      </c>
      <c r="L25" s="6">
        <v>1293236.0918411899</v>
      </c>
    </row>
    <row r="26" spans="1:12" ht="24.5">
      <c r="A26" s="1">
        <v>2024</v>
      </c>
      <c r="B26" s="1">
        <v>-4.41</v>
      </c>
      <c r="C26" s="1">
        <v>6</v>
      </c>
      <c r="D26" s="1">
        <v>3.33</v>
      </c>
      <c r="E26" s="1">
        <v>2.65</v>
      </c>
      <c r="F26" s="5">
        <v>2.92</v>
      </c>
      <c r="G26" s="6">
        <v>756623.94522763498</v>
      </c>
      <c r="H26" s="6">
        <v>502471.48987171199</v>
      </c>
      <c r="I26" s="6">
        <v>1259095.4350993501</v>
      </c>
      <c r="J26" s="6">
        <v>1184056.0244447601</v>
      </c>
      <c r="K26" s="6">
        <v>190664.22432840001</v>
      </c>
      <c r="L26" s="6">
        <v>1374720.2487731599</v>
      </c>
    </row>
    <row r="27" spans="1:12" ht="24.5">
      <c r="A27" s="1">
        <v>2025</v>
      </c>
      <c r="B27" s="1">
        <v>5.58</v>
      </c>
      <c r="C27" s="1">
        <v>4.88</v>
      </c>
      <c r="D27" s="1">
        <v>0.92</v>
      </c>
      <c r="E27" s="1">
        <v>4.46</v>
      </c>
      <c r="F27" s="1"/>
      <c r="G27" s="6">
        <v>590131</v>
      </c>
      <c r="H27" s="6">
        <v>501222</v>
      </c>
      <c r="I27" s="6">
        <v>1091353</v>
      </c>
      <c r="J27" s="6">
        <v>1164806</v>
      </c>
      <c r="K27" s="6">
        <v>172000</v>
      </c>
      <c r="L27" s="6">
        <v>1336806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ADD2-760F-420A-9121-49BB7E2EE9EF}">
  <dimension ref="A1:D27"/>
  <sheetViews>
    <sheetView workbookViewId="0">
      <selection activeCell="E1" sqref="E1"/>
    </sheetView>
  </sheetViews>
  <sheetFormatPr defaultRowHeight="23.5"/>
  <cols>
    <col min="1" max="1" width="6.08984375" style="6" bestFit="1" customWidth="1"/>
  </cols>
  <sheetData>
    <row r="1" spans="1:4">
      <c r="A1" s="18" t="s">
        <v>0</v>
      </c>
      <c r="B1" s="15" t="s">
        <v>13</v>
      </c>
      <c r="C1" s="16" t="s">
        <v>14</v>
      </c>
      <c r="D1" s="17" t="s">
        <v>15</v>
      </c>
    </row>
    <row r="2" spans="1:4">
      <c r="A2" s="6">
        <v>1999</v>
      </c>
      <c r="B2" s="11">
        <v>6.8</v>
      </c>
      <c r="C2" s="12">
        <v>15.8</v>
      </c>
      <c r="D2" s="2">
        <v>8.1</v>
      </c>
    </row>
    <row r="3" spans="1:4">
      <c r="A3" s="6">
        <v>2000</v>
      </c>
      <c r="B3" s="11">
        <v>6.5</v>
      </c>
      <c r="C3" s="12">
        <v>17.600000000000001</v>
      </c>
      <c r="D3" s="2">
        <v>8.1449999999999996</v>
      </c>
    </row>
    <row r="4" spans="1:4">
      <c r="A4" s="6">
        <v>2001</v>
      </c>
      <c r="B4" s="11">
        <v>6.8</v>
      </c>
      <c r="C4" s="12">
        <v>17.3</v>
      </c>
      <c r="D4" s="2">
        <v>8.34</v>
      </c>
    </row>
    <row r="5" spans="1:4">
      <c r="A5" s="6">
        <v>2002</v>
      </c>
      <c r="B5" s="11">
        <v>7.6</v>
      </c>
      <c r="C5" s="12">
        <v>21.7</v>
      </c>
      <c r="D5" s="2">
        <v>9.66</v>
      </c>
    </row>
    <row r="6" spans="1:4">
      <c r="A6" s="6">
        <v>2003</v>
      </c>
      <c r="B6" s="11">
        <v>8</v>
      </c>
      <c r="C6" s="12">
        <v>23.2</v>
      </c>
      <c r="D6" s="2">
        <v>10.35</v>
      </c>
    </row>
    <row r="7" spans="1:4">
      <c r="A7" s="6">
        <v>2004</v>
      </c>
      <c r="B7" s="11">
        <v>8.4</v>
      </c>
      <c r="C7" s="12">
        <v>24.4</v>
      </c>
      <c r="D7" s="2">
        <v>11</v>
      </c>
    </row>
    <row r="8" spans="1:4">
      <c r="A8" s="6">
        <v>2005</v>
      </c>
      <c r="B8" s="11">
        <v>8.6999999999999993</v>
      </c>
      <c r="C8" s="12">
        <v>25.4</v>
      </c>
      <c r="D8" s="2">
        <v>11.52</v>
      </c>
    </row>
    <row r="9" spans="1:4">
      <c r="A9" s="6">
        <v>2006</v>
      </c>
      <c r="B9" s="11">
        <v>9.1</v>
      </c>
      <c r="C9" s="12">
        <v>26.3</v>
      </c>
      <c r="D9" s="2">
        <v>12</v>
      </c>
    </row>
    <row r="10" spans="1:4">
      <c r="A10" s="6">
        <v>2007</v>
      </c>
      <c r="B10" s="11">
        <v>8</v>
      </c>
      <c r="C10" s="12">
        <v>26.6</v>
      </c>
      <c r="D10" s="2">
        <v>11.2</v>
      </c>
    </row>
    <row r="11" spans="1:4">
      <c r="A11" s="6">
        <v>2008</v>
      </c>
      <c r="B11" s="11">
        <v>6.8</v>
      </c>
      <c r="C11" s="12">
        <v>26.9</v>
      </c>
      <c r="D11" s="2">
        <v>10</v>
      </c>
    </row>
    <row r="12" spans="1:4">
      <c r="A12" s="6">
        <v>2009</v>
      </c>
      <c r="B12" s="11">
        <v>6.9</v>
      </c>
      <c r="C12" s="12">
        <v>28.4</v>
      </c>
      <c r="D12" s="2">
        <v>10.5</v>
      </c>
    </row>
    <row r="13" spans="1:4">
      <c r="A13" s="6">
        <v>2010</v>
      </c>
      <c r="B13" s="11">
        <v>7.1</v>
      </c>
      <c r="C13" s="12">
        <v>30.6</v>
      </c>
      <c r="D13" s="2">
        <v>11.2</v>
      </c>
    </row>
    <row r="14" spans="1:4">
      <c r="A14" s="6">
        <v>2011</v>
      </c>
      <c r="B14" s="11">
        <v>7.4</v>
      </c>
      <c r="C14" s="12">
        <v>33.4</v>
      </c>
      <c r="D14" s="2">
        <v>12.4</v>
      </c>
    </row>
    <row r="15" spans="1:4">
      <c r="A15" s="6">
        <v>2012</v>
      </c>
      <c r="B15" s="11">
        <v>6.1</v>
      </c>
      <c r="C15" s="12">
        <v>35.700000000000003</v>
      </c>
      <c r="D15" s="2">
        <v>12.1</v>
      </c>
    </row>
    <row r="16" spans="1:4">
      <c r="A16" s="6">
        <v>2013</v>
      </c>
      <c r="B16" s="11">
        <v>6.1</v>
      </c>
      <c r="C16" s="12">
        <v>33.200000000000003</v>
      </c>
      <c r="D16" s="2">
        <v>11.7</v>
      </c>
    </row>
    <row r="17" spans="1:4">
      <c r="A17" s="6">
        <v>2014</v>
      </c>
      <c r="B17" s="11">
        <v>5.9</v>
      </c>
      <c r="C17" s="12">
        <v>32.799999999999997</v>
      </c>
      <c r="D17" s="2">
        <v>11.7</v>
      </c>
    </row>
    <row r="18" spans="1:4">
      <c r="A18" s="6">
        <v>2015</v>
      </c>
      <c r="B18" s="11">
        <v>5.3</v>
      </c>
      <c r="C18" s="12">
        <v>33.799999999999997</v>
      </c>
      <c r="D18" s="2">
        <v>11.5</v>
      </c>
    </row>
    <row r="19" spans="1:4">
      <c r="A19" s="6">
        <v>2016</v>
      </c>
      <c r="B19" s="11">
        <v>5.9</v>
      </c>
      <c r="C19" s="12">
        <v>34.5</v>
      </c>
      <c r="D19" s="2">
        <v>12.3</v>
      </c>
    </row>
    <row r="20" spans="1:4">
      <c r="A20" s="6">
        <v>2017</v>
      </c>
      <c r="B20" s="11">
        <v>7.4</v>
      </c>
      <c r="C20" s="12">
        <v>32.5</v>
      </c>
      <c r="D20" s="2">
        <v>12.8</v>
      </c>
    </row>
    <row r="21" spans="1:4">
      <c r="A21" s="6">
        <v>2018</v>
      </c>
      <c r="B21" s="11">
        <v>7.3</v>
      </c>
      <c r="C21" s="12">
        <v>31.4</v>
      </c>
      <c r="D21" s="2">
        <v>12.9</v>
      </c>
    </row>
    <row r="22" spans="1:4">
      <c r="A22" s="6">
        <v>2019</v>
      </c>
      <c r="B22" s="11">
        <v>5.7888180981332997</v>
      </c>
      <c r="C22" s="12">
        <v>31.078611040774199</v>
      </c>
      <c r="D22" s="2">
        <v>12.2091294299331</v>
      </c>
    </row>
    <row r="23" spans="1:4">
      <c r="A23" s="6">
        <v>2020</v>
      </c>
      <c r="B23" s="11">
        <v>7.2</v>
      </c>
      <c r="C23" s="12">
        <v>28.6</v>
      </c>
      <c r="D23" s="2">
        <v>13.7</v>
      </c>
    </row>
    <row r="24" spans="1:4">
      <c r="A24" s="6">
        <v>2021</v>
      </c>
      <c r="B24" s="11">
        <v>6.3390546823725096</v>
      </c>
      <c r="C24" s="12">
        <v>22.382727323438399</v>
      </c>
      <c r="D24" s="2">
        <v>11.788428468975299</v>
      </c>
    </row>
    <row r="25" spans="1:4">
      <c r="A25" s="6">
        <v>2022</v>
      </c>
      <c r="B25" s="11">
        <v>4.6885768763363398</v>
      </c>
      <c r="C25" s="12">
        <v>19.014829260449702</v>
      </c>
      <c r="D25" s="2">
        <v>9.6464742862681891</v>
      </c>
    </row>
    <row r="26" spans="1:4">
      <c r="A26" s="6">
        <v>2023</v>
      </c>
      <c r="B26" s="11">
        <v>4.6569091253362496</v>
      </c>
      <c r="C26" s="12">
        <v>15.6770384175757</v>
      </c>
      <c r="D26" s="2">
        <v>8.4256732199050806</v>
      </c>
    </row>
    <row r="27" spans="1:4">
      <c r="A27" s="6">
        <v>2024</v>
      </c>
      <c r="B27" s="13">
        <v>4.2975496255546499</v>
      </c>
      <c r="C27" s="14">
        <v>13.0911723612563</v>
      </c>
      <c r="D27" s="3">
        <v>7.3763120895112602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19F3-D19C-4116-9701-A369EC6091FD}">
  <dimension ref="A1:H67"/>
  <sheetViews>
    <sheetView workbookViewId="0">
      <selection activeCell="B1" sqref="B1:H1048576"/>
    </sheetView>
  </sheetViews>
  <sheetFormatPr defaultRowHeight="14.5"/>
  <cols>
    <col min="1" max="1" width="7.90625" bestFit="1" customWidth="1"/>
    <col min="2" max="2" width="18.6328125" bestFit="1" customWidth="1"/>
    <col min="3" max="3" width="21.453125" bestFit="1" customWidth="1"/>
  </cols>
  <sheetData>
    <row r="1" spans="1:8" ht="23.5">
      <c r="A1" s="6" t="s">
        <v>0</v>
      </c>
      <c r="B1" s="6" t="s">
        <v>16</v>
      </c>
      <c r="C1" s="19" t="s">
        <v>17</v>
      </c>
      <c r="D1" t="s">
        <v>18</v>
      </c>
      <c r="E1" t="s">
        <v>19</v>
      </c>
      <c r="F1" s="26" t="s">
        <v>20</v>
      </c>
      <c r="G1" s="26" t="s">
        <v>21</v>
      </c>
      <c r="H1" s="26" t="s">
        <v>22</v>
      </c>
    </row>
    <row r="2" spans="1:8" ht="23.5">
      <c r="A2" s="6">
        <v>2000</v>
      </c>
      <c r="B2" s="6">
        <v>-1.1249983851764001</v>
      </c>
      <c r="C2" s="20">
        <v>165500.38800000001</v>
      </c>
      <c r="D2" s="22">
        <v>256332.394</v>
      </c>
      <c r="E2" s="23">
        <v>318989.30900000001</v>
      </c>
    </row>
    <row r="3" spans="1:8" ht="23.5">
      <c r="A3" s="6">
        <v>2001</v>
      </c>
      <c r="B3" s="6">
        <v>-1.1209480489679129</v>
      </c>
      <c r="C3" s="20">
        <v>179395.894</v>
      </c>
      <c r="D3" s="22">
        <v>271080.48499999999</v>
      </c>
      <c r="E3" s="23">
        <v>339982.87099999998</v>
      </c>
    </row>
    <row r="4" spans="1:8" ht="23.5">
      <c r="A4" s="6">
        <v>2002</v>
      </c>
      <c r="B4" s="6">
        <v>0.24718649233972509</v>
      </c>
      <c r="C4" s="20">
        <v>202339.071</v>
      </c>
      <c r="D4" s="22">
        <v>310367.266</v>
      </c>
      <c r="E4" s="23">
        <v>390208.56300000002</v>
      </c>
    </row>
    <row r="5" spans="1:8" ht="23.5">
      <c r="A5" s="6">
        <v>2003</v>
      </c>
      <c r="B5" s="6">
        <v>0.61219535817296622</v>
      </c>
      <c r="C5" s="20">
        <v>223021.86</v>
      </c>
      <c r="D5" s="22">
        <v>336403.74099999998</v>
      </c>
      <c r="E5" s="23">
        <v>417106.78200000001</v>
      </c>
    </row>
    <row r="6" spans="1:8" ht="23.5">
      <c r="A6" s="6">
        <v>2004</v>
      </c>
      <c r="B6" s="6">
        <v>0.51550789776726025</v>
      </c>
      <c r="C6" s="20">
        <v>271303.38099999999</v>
      </c>
      <c r="D6" s="22">
        <v>407976.261</v>
      </c>
      <c r="E6" s="23">
        <v>495667.92499999999</v>
      </c>
    </row>
    <row r="7" spans="1:8" ht="23.5">
      <c r="A7" s="6">
        <v>2005</v>
      </c>
      <c r="B7" s="6">
        <v>0.47923167163102032</v>
      </c>
      <c r="C7" s="20">
        <v>283539.07400000002</v>
      </c>
      <c r="D7" s="22">
        <v>448805.47100000002</v>
      </c>
      <c r="E7" s="23">
        <v>553347.93299999996</v>
      </c>
    </row>
    <row r="8" spans="1:8" ht="23.5">
      <c r="A8" s="6">
        <v>2006</v>
      </c>
      <c r="B8" s="6">
        <v>2.2090231406963938</v>
      </c>
      <c r="C8" s="20">
        <v>312741.79200000002</v>
      </c>
      <c r="D8" s="22">
        <v>538768.53700000001</v>
      </c>
      <c r="E8" s="23">
        <v>660268.05299999996</v>
      </c>
    </row>
    <row r="9" spans="1:8" ht="23.5">
      <c r="A9" s="6">
        <v>2007</v>
      </c>
      <c r="B9" s="6">
        <v>4.1678235843157996</v>
      </c>
      <c r="C9" s="20">
        <v>383556.73499999999</v>
      </c>
      <c r="D9" s="22">
        <v>666615.86</v>
      </c>
      <c r="E9" s="23">
        <v>789755.48800000001</v>
      </c>
      <c r="F9" s="27">
        <v>5.5</v>
      </c>
      <c r="G9" s="27">
        <v>4</v>
      </c>
      <c r="H9" s="27">
        <v>4.9051049999999998</v>
      </c>
    </row>
    <row r="10" spans="1:8" ht="23.5">
      <c r="A10" s="6">
        <v>2008</v>
      </c>
      <c r="B10" s="6">
        <v>9.8702481676026874</v>
      </c>
      <c r="C10" s="20">
        <v>425494.07400000002</v>
      </c>
      <c r="D10" s="22">
        <v>793117.951</v>
      </c>
      <c r="E10" s="23">
        <v>929124.571</v>
      </c>
      <c r="F10" s="27">
        <v>2.5</v>
      </c>
      <c r="G10" s="27">
        <v>1.5</v>
      </c>
      <c r="H10" s="27">
        <v>3.2845791733652101</v>
      </c>
    </row>
    <row r="11" spans="1:8" ht="23.5">
      <c r="A11" s="6">
        <v>2009</v>
      </c>
      <c r="B11" s="6">
        <v>5.0572227614832972</v>
      </c>
      <c r="C11" s="20">
        <v>521557.56300000002</v>
      </c>
      <c r="D11" s="22">
        <v>844934.59199999995</v>
      </c>
      <c r="E11" s="23">
        <v>1028943.781</v>
      </c>
      <c r="F11" s="27">
        <v>2</v>
      </c>
      <c r="G11" s="27">
        <v>0.25</v>
      </c>
      <c r="H11" s="27">
        <v>0.91130028608736902</v>
      </c>
    </row>
    <row r="12" spans="1:8" ht="23.5">
      <c r="A12" s="6">
        <v>2010</v>
      </c>
      <c r="B12" s="6">
        <v>5.3394173302090326</v>
      </c>
      <c r="C12" s="20">
        <v>625592.07468498999</v>
      </c>
      <c r="D12" s="22">
        <v>923874.62068498996</v>
      </c>
      <c r="E12" s="23">
        <v>1080369.7916849901</v>
      </c>
      <c r="F12" s="27">
        <v>2</v>
      </c>
      <c r="G12" s="27">
        <v>0.25</v>
      </c>
      <c r="H12" s="27">
        <v>0.73586270384615404</v>
      </c>
    </row>
    <row r="13" spans="1:8" ht="23.5">
      <c r="A13" s="6">
        <v>2011</v>
      </c>
      <c r="B13" s="6">
        <v>5.8262163739404214</v>
      </c>
      <c r="C13" s="20">
        <v>761995.19640616002</v>
      </c>
      <c r="D13" s="22">
        <v>1078395.84240616</v>
      </c>
      <c r="E13" s="23">
        <v>1239545.4454061601</v>
      </c>
      <c r="F13" s="27">
        <v>2</v>
      </c>
      <c r="G13" s="27">
        <v>0.25</v>
      </c>
      <c r="H13" s="27">
        <v>0.694466619183286</v>
      </c>
    </row>
    <row r="14" spans="1:8" ht="23.5">
      <c r="A14" s="6">
        <v>2012</v>
      </c>
      <c r="B14" s="6">
        <v>2.866270299050528</v>
      </c>
      <c r="C14" s="20">
        <v>889676.07328840997</v>
      </c>
      <c r="D14" s="22">
        <v>1219355.94128841</v>
      </c>
      <c r="E14" s="23">
        <v>1408073.5002884101</v>
      </c>
      <c r="F14" s="27">
        <v>2</v>
      </c>
      <c r="G14" s="27">
        <v>0.25</v>
      </c>
      <c r="H14" s="27">
        <v>0.91631625000000005</v>
      </c>
    </row>
    <row r="15" spans="1:8" ht="23.5">
      <c r="A15" s="6">
        <v>2013</v>
      </c>
      <c r="B15" s="6">
        <v>3.5110420979985681</v>
      </c>
      <c r="C15" s="20">
        <v>1003410.23317765</v>
      </c>
      <c r="D15" s="22">
        <v>1353676.7181776499</v>
      </c>
      <c r="E15" s="23">
        <v>1561070.4441776499</v>
      </c>
      <c r="F15" s="27">
        <v>2</v>
      </c>
      <c r="G15" s="27">
        <v>0.25</v>
      </c>
      <c r="H15" s="27">
        <v>0.95323579690145099</v>
      </c>
    </row>
    <row r="16" spans="1:8" ht="23.5">
      <c r="A16" s="6">
        <v>2014</v>
      </c>
      <c r="B16" s="6">
        <v>2.241853487790634</v>
      </c>
      <c r="C16" s="20">
        <v>1145134.5531117599</v>
      </c>
      <c r="D16" s="22">
        <v>1548554.0031117599</v>
      </c>
      <c r="E16" s="23">
        <v>1741889.1831117601</v>
      </c>
      <c r="F16" s="27">
        <v>2</v>
      </c>
      <c r="G16" s="27">
        <v>0.25</v>
      </c>
      <c r="H16" s="27">
        <v>0.93576546717171705</v>
      </c>
    </row>
    <row r="17" spans="1:8" ht="23.5">
      <c r="A17" s="6">
        <v>2015</v>
      </c>
      <c r="B17" s="6">
        <v>1.222693185523368</v>
      </c>
      <c r="C17" s="20">
        <v>1148642.4544788799</v>
      </c>
      <c r="D17" s="22">
        <v>1588019.7834788801</v>
      </c>
      <c r="E17" s="23">
        <v>1785582.0634788801</v>
      </c>
      <c r="F17" s="27">
        <v>2</v>
      </c>
      <c r="G17" s="27">
        <v>0.5</v>
      </c>
      <c r="H17" s="27">
        <v>0.87969166666666698</v>
      </c>
    </row>
    <row r="18" spans="1:8" ht="23.5">
      <c r="A18" s="6">
        <v>2016</v>
      </c>
      <c r="B18" s="6">
        <v>2.05347076823965</v>
      </c>
      <c r="C18" s="20">
        <v>1146409.26764277</v>
      </c>
      <c r="D18" s="22">
        <v>1642428.57552341</v>
      </c>
      <c r="E18" s="23">
        <v>1799707.68409525</v>
      </c>
      <c r="F18" s="27">
        <v>2</v>
      </c>
      <c r="G18" s="27">
        <v>0.75</v>
      </c>
      <c r="H18" s="27">
        <v>2.0661726506505298</v>
      </c>
    </row>
    <row r="19" spans="1:8" ht="23.5">
      <c r="A19" s="6">
        <v>2017</v>
      </c>
      <c r="B19" s="6">
        <v>-0.83484573502724635</v>
      </c>
      <c r="C19" s="20">
        <v>1174514.0987035099</v>
      </c>
      <c r="D19" s="22">
        <v>1628666.1578989499</v>
      </c>
      <c r="E19" s="23">
        <v>1805171.37263429</v>
      </c>
      <c r="F19" s="27">
        <v>2</v>
      </c>
      <c r="G19" s="27">
        <v>1.5</v>
      </c>
      <c r="H19" s="27">
        <v>1.8116683601347301</v>
      </c>
    </row>
    <row r="20" spans="1:8" ht="23.5">
      <c r="A20" s="6">
        <v>2018</v>
      </c>
      <c r="B20" s="6">
        <v>2.4659430899484329</v>
      </c>
      <c r="C20" s="20">
        <v>1220797.3978443099</v>
      </c>
      <c r="D20" s="22">
        <v>1663819.81099369</v>
      </c>
      <c r="E20" s="23">
        <v>1853645.3718538999</v>
      </c>
      <c r="F20" s="27">
        <v>3</v>
      </c>
      <c r="G20" s="27">
        <v>2.5</v>
      </c>
      <c r="H20" s="27">
        <v>2.4509822118702602</v>
      </c>
    </row>
    <row r="21" spans="1:8" ht="23.5">
      <c r="A21" s="6">
        <v>2019</v>
      </c>
      <c r="B21" s="6">
        <v>-1.1929864453331991</v>
      </c>
      <c r="C21" s="20">
        <v>1288311.35092112</v>
      </c>
      <c r="D21" s="22">
        <v>1789978.2694107699</v>
      </c>
      <c r="E21" s="23">
        <v>1985139.4515587401</v>
      </c>
      <c r="F21" s="28">
        <v>2.25</v>
      </c>
      <c r="G21" s="28">
        <v>1.75</v>
      </c>
      <c r="H21" s="28">
        <v>2.6318450610962101</v>
      </c>
    </row>
    <row r="22" spans="1:8" ht="23.5">
      <c r="A22" s="6">
        <v>2020</v>
      </c>
      <c r="B22" s="6">
        <v>3.372349610123027</v>
      </c>
      <c r="C22" s="20">
        <v>1488874.88021132</v>
      </c>
      <c r="D22" s="22">
        <v>1962841.8607671701</v>
      </c>
      <c r="E22" s="23">
        <v>2149267.0668304702</v>
      </c>
      <c r="F22" s="28">
        <v>1</v>
      </c>
      <c r="G22" s="28">
        <v>0.5</v>
      </c>
      <c r="H22" s="28">
        <v>1.1922916801841099</v>
      </c>
    </row>
    <row r="23" spans="1:8" ht="23.5">
      <c r="A23" s="6">
        <v>2021</v>
      </c>
      <c r="B23" s="6">
        <v>3.0632898894154819</v>
      </c>
      <c r="C23" s="20">
        <v>1564474.2081834599</v>
      </c>
      <c r="D23" s="22">
        <v>2059808.5748816801</v>
      </c>
      <c r="E23" s="23">
        <v>2308819.9554417101</v>
      </c>
      <c r="F23" s="28">
        <v>1</v>
      </c>
      <c r="G23" s="28">
        <v>0.5</v>
      </c>
      <c r="H23" s="28">
        <v>0.80999145786917603</v>
      </c>
    </row>
    <row r="24" spans="1:8" ht="23.5">
      <c r="A24" s="6">
        <v>2022</v>
      </c>
      <c r="B24" s="6">
        <v>2.4740737192537172</v>
      </c>
      <c r="C24" s="20">
        <v>1528126.0624528299</v>
      </c>
      <c r="D24" s="22">
        <v>2182890.33380283</v>
      </c>
      <c r="E24" s="23">
        <v>2495372.01592683</v>
      </c>
      <c r="F24" s="29">
        <v>5</v>
      </c>
      <c r="G24" s="29">
        <v>4.5</v>
      </c>
      <c r="H24" s="29">
        <v>3.1254128924010498</v>
      </c>
    </row>
    <row r="25" spans="1:8" ht="23.5">
      <c r="A25" s="6">
        <v>2023</v>
      </c>
      <c r="B25" s="6">
        <v>2.3270851836269859</v>
      </c>
      <c r="C25" s="20">
        <v>1524215.17221318</v>
      </c>
      <c r="D25" s="22">
        <v>2388284.5961173601</v>
      </c>
      <c r="E25" s="23">
        <v>2685343.2257096898</v>
      </c>
      <c r="F25" s="29">
        <v>6</v>
      </c>
      <c r="G25" s="29">
        <v>5.5</v>
      </c>
      <c r="H25" s="29">
        <v>5.9304400419887298</v>
      </c>
    </row>
    <row r="26" spans="1:8" ht="23.5">
      <c r="A26" s="6">
        <v>2024</v>
      </c>
      <c r="B26" s="6">
        <v>1.6879211237580889</v>
      </c>
      <c r="C26" s="20">
        <v>1669728.8086820799</v>
      </c>
      <c r="D26" s="22">
        <v>2619436.7160280198</v>
      </c>
      <c r="E26" s="23">
        <v>2921472.31932873</v>
      </c>
      <c r="F26" s="29">
        <v>5</v>
      </c>
      <c r="G26" s="29">
        <v>4.5</v>
      </c>
      <c r="H26" s="29">
        <v>6.0197122698875596</v>
      </c>
    </row>
    <row r="27" spans="1:8" ht="24" thickBot="1">
      <c r="A27">
        <v>2025</v>
      </c>
      <c r="C27" s="20">
        <v>1674285.8389999999</v>
      </c>
      <c r="D27" s="24">
        <v>2848122.4950000001</v>
      </c>
      <c r="E27" s="25">
        <v>3167777.9720000001</v>
      </c>
      <c r="F27" s="30">
        <v>4.25</v>
      </c>
      <c r="G27" s="30">
        <v>3.75</v>
      </c>
      <c r="H27" s="30">
        <v>5.30578971332565</v>
      </c>
    </row>
    <row r="60" spans="3:3" ht="23.5">
      <c r="C60" s="21">
        <v>2003</v>
      </c>
    </row>
    <row r="61" spans="3:3" ht="23.5">
      <c r="C61" s="22">
        <v>55444.658000000003</v>
      </c>
    </row>
    <row r="62" spans="3:3" ht="23.5">
      <c r="C62" s="22">
        <v>167577.20199999999</v>
      </c>
    </row>
    <row r="63" spans="3:3" ht="23.5">
      <c r="C63" s="22">
        <v>223021.86</v>
      </c>
    </row>
    <row r="64" spans="3:3" ht="23.5">
      <c r="C64" s="22">
        <v>113381.88099999999</v>
      </c>
    </row>
    <row r="65" spans="3:3" ht="23.5">
      <c r="C65" s="22">
        <v>336403.74099999998</v>
      </c>
    </row>
    <row r="66" spans="3:3" ht="23.5">
      <c r="C66" s="22">
        <v>80703.040999999997</v>
      </c>
    </row>
    <row r="67" spans="3:3" ht="23.5">
      <c r="C67" s="23">
        <v>417106.78200000001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5EFB-8E4E-4A8F-A9A1-D1413A2BB66B}">
  <dimension ref="A1:E26"/>
  <sheetViews>
    <sheetView topLeftCell="A20" workbookViewId="0">
      <selection activeCell="J5" sqref="J5"/>
    </sheetView>
  </sheetViews>
  <sheetFormatPr defaultRowHeight="23.5"/>
  <cols>
    <col min="1" max="1" width="6.453125" style="20" bestFit="1" customWidth="1"/>
    <col min="2" max="3" width="15.08984375" style="20" bestFit="1" customWidth="1"/>
    <col min="4" max="4" width="15.36328125" style="20" bestFit="1" customWidth="1"/>
    <col min="5" max="5" width="15.54296875" style="20" bestFit="1" customWidth="1"/>
  </cols>
  <sheetData>
    <row r="1" spans="1:5">
      <c r="A1" s="56" t="s">
        <v>0</v>
      </c>
      <c r="B1" s="56" t="s">
        <v>62</v>
      </c>
      <c r="C1" s="56" t="s">
        <v>63</v>
      </c>
      <c r="D1" s="56" t="s">
        <v>66</v>
      </c>
      <c r="E1" s="56" t="s">
        <v>67</v>
      </c>
    </row>
    <row r="2" spans="1:5">
      <c r="A2" s="20">
        <v>2000</v>
      </c>
      <c r="B2" s="20">
        <v>290.553</v>
      </c>
      <c r="C2" s="20">
        <v>105.932</v>
      </c>
    </row>
    <row r="3" spans="1:5">
      <c r="A3" s="20">
        <v>2001</v>
      </c>
      <c r="B3" s="20">
        <v>254.898</v>
      </c>
      <c r="C3" s="20">
        <v>108.89400000000001</v>
      </c>
    </row>
    <row r="4" spans="1:5">
      <c r="A4" s="20">
        <v>2002</v>
      </c>
      <c r="B4" s="20">
        <v>271.74099999999999</v>
      </c>
      <c r="C4" s="20">
        <v>113.848</v>
      </c>
    </row>
    <row r="5" spans="1:5">
      <c r="A5" s="20">
        <v>2003</v>
      </c>
      <c r="B5" s="20">
        <v>349.66399999999999</v>
      </c>
      <c r="C5" s="20">
        <v>147.37700000000001</v>
      </c>
    </row>
    <row r="6" spans="1:5">
      <c r="A6" s="20">
        <v>2004</v>
      </c>
      <c r="B6" s="20">
        <v>472.49099999999999</v>
      </c>
      <c r="C6" s="20">
        <v>167.892</v>
      </c>
    </row>
    <row r="7" spans="1:5">
      <c r="A7" s="20">
        <v>2005</v>
      </c>
      <c r="B7" s="20">
        <v>677.14400000000001</v>
      </c>
      <c r="C7" s="20">
        <v>212.542</v>
      </c>
      <c r="D7" s="20">
        <v>474.80045000000001</v>
      </c>
      <c r="E7" s="20">
        <v>333.431056446095</v>
      </c>
    </row>
    <row r="8" spans="1:5">
      <c r="A8" s="20">
        <v>2006</v>
      </c>
      <c r="B8" s="20">
        <v>791.33900000000006</v>
      </c>
      <c r="C8" s="20">
        <v>251.084</v>
      </c>
      <c r="D8" s="20">
        <v>554.5926883944951</v>
      </c>
      <c r="E8" s="20">
        <v>387.89931504970701</v>
      </c>
    </row>
    <row r="9" spans="1:5">
      <c r="A9" s="20">
        <v>2007</v>
      </c>
      <c r="B9" s="20">
        <v>874.40300000000002</v>
      </c>
      <c r="C9" s="20">
        <v>324.91800000000001</v>
      </c>
      <c r="D9" s="20">
        <v>568.249926705588</v>
      </c>
      <c r="E9" s="20">
        <v>382.92086410876499</v>
      </c>
    </row>
    <row r="10" spans="1:5">
      <c r="A10" s="20">
        <v>2008</v>
      </c>
      <c r="B10" s="20">
        <v>1175.482</v>
      </c>
      <c r="C10" s="20">
        <v>416.52780000000001</v>
      </c>
      <c r="D10" s="20">
        <v>799.41849000000002</v>
      </c>
      <c r="E10" s="20">
        <v>542.50082101165799</v>
      </c>
    </row>
    <row r="11" spans="1:5">
      <c r="A11" s="20">
        <v>2009</v>
      </c>
      <c r="B11" s="20">
        <v>721.10900000000004</v>
      </c>
      <c r="C11" s="20">
        <v>345.44799999999998</v>
      </c>
      <c r="D11" s="20">
        <v>398.19400199999995</v>
      </c>
      <c r="E11" s="20">
        <v>94.684908111214511</v>
      </c>
    </row>
    <row r="12" spans="1:5">
      <c r="A12" s="20">
        <v>2010</v>
      </c>
      <c r="B12" s="20">
        <v>941.78499999999997</v>
      </c>
      <c r="C12" s="20">
        <v>387.827</v>
      </c>
      <c r="D12" s="20">
        <v>580.42560003099993</v>
      </c>
      <c r="E12" s="20">
        <v>268.24429940339996</v>
      </c>
    </row>
    <row r="13" spans="1:5">
      <c r="A13" s="20">
        <v>2011</v>
      </c>
      <c r="B13" s="20">
        <v>1367.62</v>
      </c>
      <c r="C13" s="20">
        <v>479.13640000000004</v>
      </c>
      <c r="D13" s="20">
        <v>922.70183599999996</v>
      </c>
      <c r="E13" s="20">
        <v>609.57344345765307</v>
      </c>
    </row>
    <row r="14" spans="1:5">
      <c r="A14" s="20">
        <v>2012</v>
      </c>
      <c r="B14" s="20">
        <v>1456.502</v>
      </c>
      <c r="C14" s="20">
        <v>567.75400000000002</v>
      </c>
      <c r="D14" s="20">
        <v>930.47390000000007</v>
      </c>
      <c r="E14" s="20">
        <v>644.25951604146496</v>
      </c>
    </row>
    <row r="15" spans="1:5">
      <c r="A15" s="20">
        <v>2013</v>
      </c>
      <c r="B15" s="20">
        <v>1409.5239999999999</v>
      </c>
      <c r="C15" s="20">
        <v>614.53899999999999</v>
      </c>
      <c r="D15" s="20">
        <v>840.89573199999995</v>
      </c>
      <c r="E15" s="20">
        <v>528.97537339468192</v>
      </c>
    </row>
    <row r="16" spans="1:5">
      <c r="A16" s="20">
        <v>2014</v>
      </c>
      <c r="B16" s="20">
        <v>1284.1220000000001</v>
      </c>
      <c r="C16" s="20">
        <v>651.87599999999998</v>
      </c>
      <c r="D16" s="20">
        <v>696.49962752800002</v>
      </c>
      <c r="E16" s="20">
        <v>291.19097864833003</v>
      </c>
    </row>
    <row r="17" spans="1:5">
      <c r="A17" s="20">
        <v>2015</v>
      </c>
      <c r="B17" s="20">
        <v>763.313062522</v>
      </c>
      <c r="C17" s="20">
        <v>655.03328754000006</v>
      </c>
      <c r="D17" s="20">
        <v>172.54559599999999</v>
      </c>
      <c r="E17" s="20">
        <v>-206.41688526432301</v>
      </c>
    </row>
    <row r="18" spans="1:5">
      <c r="A18" s="20">
        <v>2016</v>
      </c>
      <c r="B18" s="20">
        <v>688.42399999999998</v>
      </c>
      <c r="C18" s="20">
        <v>525.63639641000009</v>
      </c>
      <c r="D18" s="20">
        <v>214.37159962804</v>
      </c>
      <c r="E18" s="20">
        <v>-101.135025419157</v>
      </c>
    </row>
    <row r="19" spans="1:5">
      <c r="A19" s="20">
        <v>2017</v>
      </c>
      <c r="B19" s="20">
        <v>831.88219397</v>
      </c>
      <c r="C19" s="20">
        <v>504.44637335900001</v>
      </c>
      <c r="D19" s="20">
        <v>374.27275583810001</v>
      </c>
      <c r="E19" s="20">
        <v>34.064611190037198</v>
      </c>
    </row>
    <row r="20" spans="1:5">
      <c r="A20" s="20">
        <v>2018</v>
      </c>
      <c r="B20" s="20">
        <v>1103.9004859909999</v>
      </c>
      <c r="C20" s="20">
        <v>513.99253633700005</v>
      </c>
      <c r="D20" s="20">
        <v>637.95050000000003</v>
      </c>
      <c r="E20" s="20">
        <v>262.60850087341396</v>
      </c>
    </row>
    <row r="21" spans="1:5">
      <c r="A21" s="20">
        <v>2019</v>
      </c>
      <c r="B21" s="20">
        <v>981.01199999999994</v>
      </c>
      <c r="C21" s="20">
        <v>574.36099999999999</v>
      </c>
      <c r="D21" s="20">
        <v>460.75365417539996</v>
      </c>
      <c r="E21" s="20">
        <v>121.494838254323</v>
      </c>
    </row>
    <row r="22" spans="1:5">
      <c r="A22" s="20">
        <v>2020</v>
      </c>
      <c r="B22" s="20">
        <v>651.952</v>
      </c>
      <c r="C22" s="20">
        <v>517.49163860700003</v>
      </c>
      <c r="D22" s="20">
        <v>184.9658</v>
      </c>
      <c r="E22" s="20">
        <v>-130.07906365181699</v>
      </c>
    </row>
    <row r="23" spans="1:5">
      <c r="A23" s="20">
        <v>2021</v>
      </c>
      <c r="B23" s="20">
        <v>1035.671</v>
      </c>
      <c r="C23" s="20">
        <v>573.18487310900002</v>
      </c>
      <c r="D23" s="20">
        <v>517.47024199999998</v>
      </c>
      <c r="E23" s="20">
        <v>168.39479656904902</v>
      </c>
    </row>
    <row r="24" spans="1:5">
      <c r="A24" s="20">
        <v>2022</v>
      </c>
      <c r="B24" s="20">
        <v>1541.941</v>
      </c>
      <c r="C24" s="20">
        <v>712.03759907200003</v>
      </c>
      <c r="D24" s="20">
        <v>889.46598659923995</v>
      </c>
      <c r="E24" s="20">
        <v>545.01269766964799</v>
      </c>
    </row>
    <row r="25" spans="1:5">
      <c r="A25" s="20">
        <v>2023</v>
      </c>
      <c r="B25" s="20">
        <v>1200.069</v>
      </c>
      <c r="C25" s="20">
        <v>776.02425854700004</v>
      </c>
      <c r="D25" s="20">
        <v>488.58666662807002</v>
      </c>
      <c r="E25" s="20">
        <v>97.305348221977894</v>
      </c>
    </row>
    <row r="26" spans="1:5">
      <c r="A26" s="20">
        <v>2024</v>
      </c>
      <c r="B26" s="20">
        <v>1145.623</v>
      </c>
      <c r="C26" s="20">
        <v>873.024</v>
      </c>
      <c r="D26" s="20">
        <v>345.09201543002001</v>
      </c>
      <c r="E26" s="20">
        <v>-60.952753662783799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BDE8-5B7E-413F-82BF-9D9A8F4EBB98}">
  <dimension ref="A1:L27"/>
  <sheetViews>
    <sheetView topLeftCell="B1" zoomScale="75" workbookViewId="0">
      <pane ySplit="1" topLeftCell="A2" activePane="bottomLeft" state="frozen"/>
      <selection pane="bottomLeft" activeCell="C27" sqref="C27"/>
    </sheetView>
  </sheetViews>
  <sheetFormatPr defaultRowHeight="23.5"/>
  <cols>
    <col min="1" max="1" width="8.26953125" bestFit="1" customWidth="1"/>
    <col min="2" max="2" width="30.54296875" bestFit="1" customWidth="1"/>
    <col min="3" max="3" width="21.453125" bestFit="1" customWidth="1"/>
    <col min="4" max="4" width="16.453125" bestFit="1" customWidth="1"/>
    <col min="5" max="5" width="20" bestFit="1" customWidth="1"/>
    <col min="6" max="6" width="15.08984375" bestFit="1" customWidth="1"/>
    <col min="7" max="7" width="15.81640625" bestFit="1" customWidth="1"/>
    <col min="9" max="9" width="19.6328125" style="6" bestFit="1" customWidth="1"/>
    <col min="10" max="10" width="26" style="6" bestFit="1" customWidth="1"/>
    <col min="11" max="11" width="13.6328125" bestFit="1" customWidth="1"/>
    <col min="12" max="12" width="12.54296875" bestFit="1" customWidth="1"/>
  </cols>
  <sheetData>
    <row r="1" spans="1:12" s="18" customFormat="1" ht="24.5">
      <c r="A1" s="32" t="s">
        <v>0</v>
      </c>
      <c r="B1" s="32" t="s">
        <v>5</v>
      </c>
      <c r="C1" s="17" t="s">
        <v>15</v>
      </c>
      <c r="D1" s="18" t="s">
        <v>23</v>
      </c>
      <c r="E1" s="18" t="s">
        <v>30</v>
      </c>
      <c r="F1" s="18" t="s">
        <v>24</v>
      </c>
      <c r="G1" s="18" t="s">
        <v>25</v>
      </c>
      <c r="H1" s="18" t="s">
        <v>26</v>
      </c>
      <c r="I1" s="18" t="s">
        <v>28</v>
      </c>
      <c r="J1" s="18" t="s">
        <v>29</v>
      </c>
      <c r="K1" s="18" t="s">
        <v>60</v>
      </c>
      <c r="L1" s="18" t="s">
        <v>61</v>
      </c>
    </row>
    <row r="2" spans="1:12" s="38" customFormat="1" ht="24.5">
      <c r="A2" s="1">
        <v>2000</v>
      </c>
      <c r="B2" s="1">
        <v>4.72</v>
      </c>
      <c r="C2" s="2">
        <v>8.1449999999999996</v>
      </c>
      <c r="D2" s="23">
        <v>318989.30900000001</v>
      </c>
      <c r="E2"/>
      <c r="F2" s="22">
        <v>290553</v>
      </c>
      <c r="G2" s="22">
        <v>105932</v>
      </c>
      <c r="H2" s="2">
        <v>-1.1249983851764001</v>
      </c>
      <c r="I2" s="44"/>
      <c r="J2" s="44"/>
    </row>
    <row r="3" spans="1:12" s="38" customFormat="1" ht="24.5">
      <c r="A3" s="1">
        <v>2001</v>
      </c>
      <c r="B3" s="1">
        <v>0.34</v>
      </c>
      <c r="C3" s="2">
        <v>8.34</v>
      </c>
      <c r="D3" s="23">
        <v>339982.87099999998</v>
      </c>
      <c r="E3"/>
      <c r="F3" s="22">
        <v>254898</v>
      </c>
      <c r="G3" s="22">
        <v>108894</v>
      </c>
      <c r="H3" s="2">
        <v>-1.1209480489679129</v>
      </c>
      <c r="I3" s="1">
        <v>-3</v>
      </c>
      <c r="J3" s="1">
        <v>1.36</v>
      </c>
    </row>
    <row r="4" spans="1:12" s="38" customFormat="1" ht="24.5">
      <c r="A4" s="1">
        <v>2002</v>
      </c>
      <c r="B4" s="1">
        <v>-0.69</v>
      </c>
      <c r="C4" s="2">
        <v>9.66</v>
      </c>
      <c r="D4" s="23">
        <v>390208.56300000002</v>
      </c>
      <c r="E4"/>
      <c r="F4" s="22">
        <v>271741</v>
      </c>
      <c r="G4" s="22">
        <v>113848</v>
      </c>
      <c r="H4" s="2">
        <v>0.24718649233972509</v>
      </c>
      <c r="I4" s="1">
        <v>19.98</v>
      </c>
      <c r="J4" s="1">
        <v>0.99</v>
      </c>
    </row>
    <row r="5" spans="1:12" ht="24.5">
      <c r="A5" s="1">
        <v>2003</v>
      </c>
      <c r="B5" s="1">
        <v>8.77</v>
      </c>
      <c r="C5" s="2">
        <v>10.35</v>
      </c>
      <c r="D5" s="23">
        <v>417106.78200000001</v>
      </c>
      <c r="F5" s="22">
        <v>349664</v>
      </c>
      <c r="G5" s="22">
        <v>147377</v>
      </c>
      <c r="H5" s="2">
        <v>0.61219535817296622</v>
      </c>
      <c r="I5" s="1">
        <v>3.13</v>
      </c>
      <c r="J5" s="1">
        <v>4.28</v>
      </c>
    </row>
    <row r="6" spans="1:12" ht="24.5">
      <c r="A6" s="1">
        <v>2004</v>
      </c>
      <c r="B6" s="1">
        <v>8.6300000000000008</v>
      </c>
      <c r="C6" s="2">
        <v>11</v>
      </c>
      <c r="D6" s="23">
        <v>495667.92499999999</v>
      </c>
      <c r="F6" s="22">
        <v>472491</v>
      </c>
      <c r="G6" s="22">
        <v>167892</v>
      </c>
      <c r="H6" s="2">
        <v>0.51550789776726025</v>
      </c>
      <c r="I6" s="1">
        <v>23.68</v>
      </c>
      <c r="J6" s="1">
        <v>7.28</v>
      </c>
    </row>
    <row r="7" spans="1:12" ht="24.5">
      <c r="A7" s="1">
        <v>2005</v>
      </c>
      <c r="B7" s="1">
        <v>5.94</v>
      </c>
      <c r="C7" s="2">
        <v>11.52</v>
      </c>
      <c r="D7" s="23">
        <v>553347.93299999996</v>
      </c>
      <c r="E7" s="31">
        <v>346417.8125</v>
      </c>
      <c r="F7" s="22">
        <v>677144</v>
      </c>
      <c r="G7" s="22">
        <v>212542</v>
      </c>
      <c r="H7" s="2">
        <v>0.47923167163102032</v>
      </c>
      <c r="I7" s="1">
        <v>20.58</v>
      </c>
      <c r="J7" s="1">
        <v>9.4600000000000009</v>
      </c>
      <c r="K7">
        <v>677144</v>
      </c>
      <c r="L7">
        <v>202343.55</v>
      </c>
    </row>
    <row r="8" spans="1:12" ht="24.5">
      <c r="A8" s="1">
        <v>2006</v>
      </c>
      <c r="B8" s="1">
        <v>3.31</v>
      </c>
      <c r="C8" s="2">
        <v>12</v>
      </c>
      <c r="D8" s="23">
        <v>660268.05299999996</v>
      </c>
      <c r="E8" s="31">
        <v>386600.8125</v>
      </c>
      <c r="F8" s="22">
        <v>791339</v>
      </c>
      <c r="G8" s="22">
        <v>251084</v>
      </c>
      <c r="H8" s="2">
        <v>2.2090231406963938</v>
      </c>
      <c r="I8" s="1">
        <v>33.049999999999997</v>
      </c>
      <c r="J8" s="1">
        <v>9.59</v>
      </c>
      <c r="K8">
        <v>791338</v>
      </c>
      <c r="L8">
        <v>236745.311605505</v>
      </c>
    </row>
    <row r="9" spans="1:12" ht="24.5">
      <c r="A9" s="1">
        <v>2007</v>
      </c>
      <c r="B9" s="1">
        <v>2.21</v>
      </c>
      <c r="C9" s="2">
        <v>11.2</v>
      </c>
      <c r="D9" s="23">
        <v>789755.48800000001</v>
      </c>
      <c r="E9" s="31">
        <v>372760.15625</v>
      </c>
      <c r="F9" s="22">
        <v>874403</v>
      </c>
      <c r="G9" s="22">
        <v>324918</v>
      </c>
      <c r="H9" s="2">
        <v>4.1678235843157996</v>
      </c>
      <c r="I9" s="1">
        <v>23.46</v>
      </c>
      <c r="J9" s="1">
        <v>7.98</v>
      </c>
      <c r="K9">
        <v>874403</v>
      </c>
      <c r="L9">
        <v>306153.073294412</v>
      </c>
    </row>
    <row r="10" spans="1:12" ht="24.5">
      <c r="A10" s="1">
        <v>2008</v>
      </c>
      <c r="B10" s="1">
        <v>6.24</v>
      </c>
      <c r="C10" s="2">
        <v>10</v>
      </c>
      <c r="D10" s="23">
        <v>929124.571</v>
      </c>
      <c r="E10" s="31">
        <v>524037.875</v>
      </c>
      <c r="F10" s="22">
        <v>1175482</v>
      </c>
      <c r="G10" s="22">
        <v>416527.8</v>
      </c>
      <c r="H10" s="2">
        <v>9.8702481676026874</v>
      </c>
      <c r="I10" s="1">
        <v>30.03</v>
      </c>
      <c r="J10" s="1">
        <v>8.64</v>
      </c>
      <c r="K10">
        <v>1175552</v>
      </c>
      <c r="L10">
        <v>376133.51</v>
      </c>
    </row>
    <row r="11" spans="1:12" ht="24.5">
      <c r="A11" s="1">
        <v>2009</v>
      </c>
      <c r="B11" s="1">
        <v>-1.07</v>
      </c>
      <c r="C11" s="2">
        <v>10.5</v>
      </c>
      <c r="D11" s="23">
        <v>1028943.781</v>
      </c>
      <c r="E11" s="31">
        <v>106249.2578125</v>
      </c>
      <c r="F11" s="22">
        <v>721109</v>
      </c>
      <c r="G11" s="22">
        <v>345448</v>
      </c>
      <c r="H11" s="2">
        <v>5.0572227614832972</v>
      </c>
      <c r="I11" s="1">
        <v>-3.43</v>
      </c>
      <c r="J11" s="1">
        <v>5.63</v>
      </c>
      <c r="K11">
        <v>721152</v>
      </c>
      <c r="L11">
        <v>322957.99800000002</v>
      </c>
    </row>
    <row r="12" spans="1:12" ht="24.5">
      <c r="A12" s="1">
        <v>2010</v>
      </c>
      <c r="B12" s="1">
        <v>5.04</v>
      </c>
      <c r="C12" s="2">
        <v>11.2</v>
      </c>
      <c r="D12" s="23">
        <v>1080369.7916849901</v>
      </c>
      <c r="E12" s="31">
        <v>279055.59375</v>
      </c>
      <c r="F12" s="22">
        <v>941785</v>
      </c>
      <c r="G12" s="22">
        <v>387827</v>
      </c>
      <c r="H12" s="2">
        <v>5.3394173302090326</v>
      </c>
      <c r="I12" s="1">
        <v>12.05</v>
      </c>
      <c r="J12" s="1">
        <v>2.81</v>
      </c>
      <c r="K12">
        <v>941785.000031</v>
      </c>
      <c r="L12">
        <v>361359.4</v>
      </c>
    </row>
    <row r="13" spans="1:12" ht="24.5">
      <c r="A13" s="1">
        <v>2011</v>
      </c>
      <c r="B13" s="1">
        <v>11.76</v>
      </c>
      <c r="C13" s="2">
        <v>12.4</v>
      </c>
      <c r="D13" s="23">
        <v>1239545.4454061601</v>
      </c>
      <c r="E13" s="31">
        <v>618711.75</v>
      </c>
      <c r="F13" s="22">
        <v>1367620</v>
      </c>
      <c r="G13" s="22">
        <v>479136.4</v>
      </c>
      <c r="H13" s="2">
        <v>5.8262163739404214</v>
      </c>
      <c r="I13" s="6">
        <v>11.16</v>
      </c>
      <c r="J13" s="6">
        <v>11.92</v>
      </c>
      <c r="K13">
        <v>1367619.936</v>
      </c>
      <c r="L13">
        <v>444918.1</v>
      </c>
    </row>
    <row r="14" spans="1:12" ht="24.5">
      <c r="A14" s="1">
        <v>2012</v>
      </c>
      <c r="B14" s="1">
        <v>5.76</v>
      </c>
      <c r="C14" s="2">
        <v>12.1</v>
      </c>
      <c r="D14" s="23">
        <v>1408073.5002884101</v>
      </c>
      <c r="E14" s="31">
        <v>651239.875</v>
      </c>
      <c r="F14" s="22">
        <v>1456502</v>
      </c>
      <c r="G14" s="22">
        <v>567754</v>
      </c>
      <c r="H14" s="2">
        <v>2.866270299050528</v>
      </c>
      <c r="I14" s="6">
        <v>4.87</v>
      </c>
      <c r="J14" s="6">
        <v>9.76</v>
      </c>
      <c r="K14">
        <v>1456386</v>
      </c>
      <c r="L14">
        <v>525912.1</v>
      </c>
    </row>
    <row r="15" spans="1:12" ht="24.5">
      <c r="A15" s="1">
        <v>2013</v>
      </c>
      <c r="B15" s="1">
        <v>2.95</v>
      </c>
      <c r="C15" s="2">
        <v>11.7</v>
      </c>
      <c r="D15" s="23">
        <v>1561070.4441776499</v>
      </c>
      <c r="E15" s="31">
        <v>536506.3125</v>
      </c>
      <c r="F15" s="22">
        <v>1409524</v>
      </c>
      <c r="G15" s="22">
        <v>614539</v>
      </c>
      <c r="H15" s="2">
        <v>3.5110420979985681</v>
      </c>
      <c r="I15" s="6">
        <v>0.28000000000000003</v>
      </c>
      <c r="J15" s="6">
        <v>7.63</v>
      </c>
      <c r="K15">
        <v>1409628.5319999999</v>
      </c>
      <c r="L15">
        <v>568732.80000000005</v>
      </c>
    </row>
    <row r="16" spans="1:12" ht="24.5">
      <c r="A16" s="1">
        <v>2014</v>
      </c>
      <c r="B16" s="1">
        <v>4.0199999999999996</v>
      </c>
      <c r="C16" s="2">
        <v>11.7</v>
      </c>
      <c r="D16" s="23">
        <v>1741889.1831117601</v>
      </c>
      <c r="E16" s="31">
        <v>300974.375</v>
      </c>
      <c r="F16" s="22">
        <v>1284122</v>
      </c>
      <c r="G16" s="22">
        <v>651876</v>
      </c>
      <c r="H16" s="2">
        <v>2.241853487790634</v>
      </c>
      <c r="I16" s="6">
        <v>8.91</v>
      </c>
      <c r="J16" s="6">
        <v>9.3699999999999992</v>
      </c>
      <c r="K16">
        <v>1284213.3</v>
      </c>
      <c r="L16">
        <v>587713.67247200001</v>
      </c>
    </row>
    <row r="17" spans="1:12" ht="24.5">
      <c r="A17" s="1">
        <v>2015</v>
      </c>
      <c r="B17" s="1">
        <v>4.66</v>
      </c>
      <c r="C17" s="2">
        <v>11.5</v>
      </c>
      <c r="D17" s="23">
        <v>1785582.0634788801</v>
      </c>
      <c r="E17" s="31">
        <v>-197401.1875</v>
      </c>
      <c r="F17" s="22">
        <v>763313.06252200005</v>
      </c>
      <c r="G17" s="22">
        <v>655033.28754000005</v>
      </c>
      <c r="H17" s="2">
        <v>1.222693185523368</v>
      </c>
      <c r="I17" s="6">
        <v>2.73</v>
      </c>
      <c r="J17" s="6">
        <v>4.6500000000000004</v>
      </c>
      <c r="K17">
        <v>763262</v>
      </c>
      <c r="L17">
        <v>590716.40399999998</v>
      </c>
    </row>
    <row r="18" spans="1:12" ht="24.5">
      <c r="A18" s="1">
        <v>2016</v>
      </c>
      <c r="B18" s="1">
        <v>1.7</v>
      </c>
      <c r="C18" s="2">
        <v>12.3</v>
      </c>
      <c r="D18" s="23">
        <v>1799707.68409525</v>
      </c>
      <c r="E18" s="31">
        <v>-91703.40625</v>
      </c>
      <c r="F18" s="22">
        <v>688424</v>
      </c>
      <c r="G18" s="22">
        <v>525636.39641000004</v>
      </c>
      <c r="H18" s="2">
        <v>2.05347076823965</v>
      </c>
      <c r="I18" s="6">
        <v>-14.11</v>
      </c>
      <c r="J18" s="6">
        <v>-4.3600000000000003</v>
      </c>
      <c r="K18">
        <v>688528</v>
      </c>
      <c r="L18">
        <v>474156.40037196002</v>
      </c>
    </row>
    <row r="19" spans="1:12" ht="24.5">
      <c r="A19" s="1">
        <v>2017</v>
      </c>
      <c r="B19" s="1">
        <v>1.18</v>
      </c>
      <c r="C19" s="2">
        <v>12.8</v>
      </c>
      <c r="D19" s="23">
        <v>1805171.37263429</v>
      </c>
      <c r="E19" s="31">
        <v>45470.328125</v>
      </c>
      <c r="F19" s="22">
        <v>831882.19397000002</v>
      </c>
      <c r="G19" s="22">
        <v>504446.37335900002</v>
      </c>
      <c r="H19" s="2">
        <v>-0.83484573502724635</v>
      </c>
      <c r="I19" s="6">
        <v>-2.73</v>
      </c>
      <c r="J19" s="6">
        <v>4.1100000000000003</v>
      </c>
      <c r="K19">
        <v>831981.15448999999</v>
      </c>
      <c r="L19">
        <v>457708.3986519</v>
      </c>
    </row>
    <row r="20" spans="1:12" ht="24.5">
      <c r="A20" s="1">
        <v>2018</v>
      </c>
      <c r="B20" s="1">
        <v>3.23</v>
      </c>
      <c r="C20" s="2">
        <v>12.9</v>
      </c>
      <c r="D20" s="23">
        <v>1853645.3718538999</v>
      </c>
      <c r="E20" s="31">
        <v>273584.875</v>
      </c>
      <c r="F20" s="22">
        <v>1103900.485991</v>
      </c>
      <c r="G20" s="22">
        <v>513992.53633700003</v>
      </c>
      <c r="H20" s="2">
        <v>2.4659430899484329</v>
      </c>
      <c r="I20" s="6">
        <v>-1.3</v>
      </c>
      <c r="J20" s="6">
        <v>3.96</v>
      </c>
      <c r="K20">
        <v>1103952</v>
      </c>
      <c r="L20">
        <v>466001.5</v>
      </c>
    </row>
    <row r="21" spans="1:12" ht="24.5">
      <c r="A21" s="1">
        <v>2019</v>
      </c>
      <c r="B21" s="1">
        <v>1.65</v>
      </c>
      <c r="C21" s="2">
        <v>12.2091294299331</v>
      </c>
      <c r="D21" s="23">
        <v>1985139.4515587401</v>
      </c>
      <c r="E21" s="31">
        <v>144191.90625</v>
      </c>
      <c r="F21" s="22">
        <v>981012</v>
      </c>
      <c r="G21" s="22">
        <v>574361</v>
      </c>
      <c r="H21" s="2">
        <v>-1.1929864453331991</v>
      </c>
      <c r="I21" s="6">
        <v>14.49</v>
      </c>
      <c r="J21" s="6">
        <v>3.09</v>
      </c>
      <c r="K21">
        <v>981064.363319</v>
      </c>
      <c r="L21">
        <v>520310.70914360002</v>
      </c>
    </row>
    <row r="22" spans="1:12" ht="24.5">
      <c r="A22" s="1">
        <v>2020</v>
      </c>
      <c r="B22" s="1">
        <v>-3.8</v>
      </c>
      <c r="C22" s="2">
        <v>13.7</v>
      </c>
      <c r="D22" s="23">
        <v>2149267.0668304702</v>
      </c>
      <c r="E22" s="31">
        <v>-95802.1484375</v>
      </c>
      <c r="F22" s="22">
        <v>651952</v>
      </c>
      <c r="G22" s="22">
        <v>517491.638607</v>
      </c>
      <c r="H22" s="2">
        <v>3.372349610123027</v>
      </c>
      <c r="I22" s="6">
        <v>-19.18</v>
      </c>
      <c r="J22" s="6">
        <v>-1.68</v>
      </c>
      <c r="K22">
        <v>651990</v>
      </c>
      <c r="L22">
        <v>467024.2</v>
      </c>
    </row>
    <row r="23" spans="1:12" ht="24.5">
      <c r="A23" s="1">
        <v>2021</v>
      </c>
      <c r="B23" s="1">
        <v>6.52</v>
      </c>
      <c r="C23" s="2">
        <v>11.788428468975299</v>
      </c>
      <c r="D23" s="23">
        <v>2308819.9554417101</v>
      </c>
      <c r="E23" s="31">
        <v>152001.109375</v>
      </c>
      <c r="F23" s="22">
        <v>1035671</v>
      </c>
      <c r="G23" s="22">
        <v>573184.87310900004</v>
      </c>
      <c r="H23" s="2">
        <v>3.0632898894154819</v>
      </c>
      <c r="I23" s="6">
        <v>21.04</v>
      </c>
      <c r="J23" s="6">
        <v>4.3099999999999996</v>
      </c>
      <c r="K23">
        <v>1035744</v>
      </c>
      <c r="L23">
        <v>518273.75799999997</v>
      </c>
    </row>
    <row r="24" spans="1:12" ht="24.5">
      <c r="A24" s="1">
        <v>2022</v>
      </c>
      <c r="B24" s="1">
        <v>12</v>
      </c>
      <c r="C24" s="2">
        <v>9.6464742862681891</v>
      </c>
      <c r="D24" s="23">
        <v>2495372.01592683</v>
      </c>
      <c r="E24" s="31">
        <v>563825.6875</v>
      </c>
      <c r="F24" s="22">
        <v>1541941</v>
      </c>
      <c r="G24" s="22">
        <v>712037.59907200001</v>
      </c>
      <c r="H24" s="2">
        <v>2.4740737192537172</v>
      </c>
      <c r="I24" s="6">
        <v>15.75</v>
      </c>
      <c r="J24" s="6">
        <v>7.04</v>
      </c>
      <c r="K24">
        <v>1542051.052566</v>
      </c>
      <c r="L24">
        <v>652585.06596676004</v>
      </c>
    </row>
    <row r="25" spans="1:12" ht="24.5">
      <c r="A25" s="33">
        <v>2023</v>
      </c>
      <c r="B25" s="33">
        <v>0.54</v>
      </c>
      <c r="C25" s="34">
        <v>8.4256732199050806</v>
      </c>
      <c r="D25" s="35">
        <v>2685343.2257096898</v>
      </c>
      <c r="E25" s="36">
        <v>131749.75</v>
      </c>
      <c r="F25" s="37">
        <v>1200069</v>
      </c>
      <c r="G25" s="37">
        <v>776024.258547</v>
      </c>
      <c r="H25" s="34">
        <v>2.3270851836269859</v>
      </c>
      <c r="I25" s="6">
        <v>8.69</v>
      </c>
      <c r="J25" s="6">
        <v>6.96</v>
      </c>
      <c r="K25">
        <v>1200825.053577</v>
      </c>
      <c r="L25">
        <v>712238.38694892998</v>
      </c>
    </row>
    <row r="26" spans="1:12" ht="24.5">
      <c r="A26" s="33">
        <v>2024</v>
      </c>
      <c r="B26" s="33">
        <v>2.65</v>
      </c>
      <c r="C26" s="39">
        <v>7.3763120895112602</v>
      </c>
      <c r="D26" s="35">
        <v>2921472.31932873</v>
      </c>
      <c r="E26" s="36">
        <v>-10270.0078125</v>
      </c>
      <c r="F26" s="40">
        <v>1145623</v>
      </c>
      <c r="G26" s="40">
        <v>873024</v>
      </c>
      <c r="H26" s="39">
        <v>1.6879211237580889</v>
      </c>
      <c r="I26" s="6">
        <v>6.76</v>
      </c>
      <c r="J26" s="6">
        <v>3.57</v>
      </c>
      <c r="K26">
        <v>1146663.6312289999</v>
      </c>
      <c r="L26">
        <v>801571.61579898</v>
      </c>
    </row>
    <row r="27" spans="1:12" ht="24.5">
      <c r="A27" s="73"/>
      <c r="B27" s="73"/>
      <c r="C27" s="74"/>
      <c r="D27" s="75"/>
      <c r="E27" s="74"/>
      <c r="F27" s="74"/>
      <c r="G27" s="74"/>
      <c r="H27" s="76"/>
      <c r="I27" s="74"/>
      <c r="J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9C97-D249-4F6E-9768-D949EF9C61B1}">
  <dimension ref="A1:L27"/>
  <sheetViews>
    <sheetView zoomScale="48" workbookViewId="0">
      <pane ySplit="1" topLeftCell="A2" activePane="bottomLeft" state="frozen"/>
      <selection pane="bottomLeft" activeCell="AE33" sqref="AE33"/>
    </sheetView>
  </sheetViews>
  <sheetFormatPr defaultRowHeight="23.5"/>
  <cols>
    <col min="1" max="1" width="8.26953125" bestFit="1" customWidth="1"/>
    <col min="2" max="2" width="30.54296875" bestFit="1" customWidth="1"/>
    <col min="3" max="3" width="21.453125" bestFit="1" customWidth="1"/>
    <col min="4" max="4" width="16.453125" bestFit="1" customWidth="1"/>
    <col min="5" max="5" width="20" bestFit="1" customWidth="1"/>
    <col min="6" max="7" width="15.08984375" bestFit="1" customWidth="1"/>
    <col min="9" max="10" width="8.7265625" style="6"/>
    <col min="11" max="11" width="34.6328125" bestFit="1" customWidth="1"/>
    <col min="12" max="12" width="35.08984375" bestFit="1" customWidth="1"/>
  </cols>
  <sheetData>
    <row r="1" spans="1:12" s="18" customFormat="1" ht="24.5">
      <c r="A1" s="32" t="s">
        <v>0</v>
      </c>
      <c r="B1" s="32" t="s">
        <v>5</v>
      </c>
      <c r="C1" s="17" t="s">
        <v>15</v>
      </c>
      <c r="D1" s="18" t="s">
        <v>34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28</v>
      </c>
      <c r="J1" s="18" t="s">
        <v>29</v>
      </c>
      <c r="K1" s="58"/>
      <c r="L1" s="58"/>
    </row>
    <row r="2" spans="1:12" s="38" customFormat="1" ht="24.5">
      <c r="A2" s="1">
        <v>2000</v>
      </c>
      <c r="B2" s="1">
        <v>4.72</v>
      </c>
      <c r="C2" s="2">
        <v>8.1449999999999996</v>
      </c>
      <c r="D2" s="23">
        <v>318989.30900000001</v>
      </c>
      <c r="E2"/>
      <c r="F2" s="22">
        <v>290553</v>
      </c>
      <c r="G2" s="22">
        <v>105932</v>
      </c>
      <c r="H2" s="2">
        <v>-1.1249983851764001</v>
      </c>
      <c r="I2" s="44"/>
      <c r="J2" s="44"/>
      <c r="K2" s="1"/>
      <c r="L2" s="1"/>
    </row>
    <row r="3" spans="1:12" s="38" customFormat="1" ht="24.5">
      <c r="A3" s="1">
        <v>2001</v>
      </c>
      <c r="B3" s="1">
        <v>0.34</v>
      </c>
      <c r="C3" s="2">
        <v>8.34</v>
      </c>
      <c r="D3" s="23">
        <v>339982.87099999998</v>
      </c>
      <c r="E3"/>
      <c r="F3" s="22">
        <v>254898</v>
      </c>
      <c r="G3" s="22">
        <v>108894</v>
      </c>
      <c r="H3" s="2">
        <v>-1.1209480489679129</v>
      </c>
      <c r="I3" s="1">
        <v>-3</v>
      </c>
      <c r="J3" s="1">
        <v>1.36</v>
      </c>
      <c r="K3" s="1"/>
      <c r="L3" s="1"/>
    </row>
    <row r="4" spans="1:12" s="38" customFormat="1" ht="24.5">
      <c r="A4" s="1">
        <v>2002</v>
      </c>
      <c r="B4" s="1">
        <v>-0.69</v>
      </c>
      <c r="C4" s="2">
        <v>9.66</v>
      </c>
      <c r="D4" s="23">
        <v>390208.56300000002</v>
      </c>
      <c r="E4"/>
      <c r="F4" s="22">
        <v>271741</v>
      </c>
      <c r="G4" s="22">
        <v>113848</v>
      </c>
      <c r="H4" s="2">
        <v>0.24718649233972509</v>
      </c>
      <c r="I4" s="1">
        <v>19.98</v>
      </c>
      <c r="J4" s="1">
        <v>0.99</v>
      </c>
      <c r="K4" s="1"/>
      <c r="L4" s="1"/>
    </row>
    <row r="5" spans="1:12" ht="24.5">
      <c r="A5" s="1">
        <v>2003</v>
      </c>
      <c r="B5" s="1">
        <v>8.77</v>
      </c>
      <c r="C5" s="2">
        <v>10.35</v>
      </c>
      <c r="D5" s="23">
        <v>417106.78200000001</v>
      </c>
      <c r="F5" s="22">
        <v>349664</v>
      </c>
      <c r="G5" s="22">
        <v>147377</v>
      </c>
      <c r="H5" s="2">
        <v>0.61219535817296622</v>
      </c>
      <c r="I5" s="1">
        <v>3.13</v>
      </c>
      <c r="J5" s="1">
        <v>4.28</v>
      </c>
      <c r="K5" s="1"/>
      <c r="L5" s="1"/>
    </row>
    <row r="6" spans="1:12" ht="24.5">
      <c r="A6" s="1">
        <v>2004</v>
      </c>
      <c r="B6" s="1">
        <v>8.6300000000000008</v>
      </c>
      <c r="C6" s="2">
        <v>11</v>
      </c>
      <c r="D6" s="23">
        <v>495667.92499999999</v>
      </c>
      <c r="F6" s="22">
        <v>472491</v>
      </c>
      <c r="G6" s="22">
        <v>167892</v>
      </c>
      <c r="H6" s="2">
        <v>0.51550789776726025</v>
      </c>
      <c r="I6" s="1">
        <v>23.68</v>
      </c>
      <c r="J6" s="1">
        <v>7.28</v>
      </c>
      <c r="K6" s="1"/>
      <c r="L6" s="1"/>
    </row>
    <row r="7" spans="1:12" ht="24.5">
      <c r="A7" s="1">
        <v>2005</v>
      </c>
      <c r="B7" s="1">
        <v>5.94</v>
      </c>
      <c r="C7" s="2">
        <v>11.52</v>
      </c>
      <c r="D7" s="23">
        <v>553347.93299999996</v>
      </c>
      <c r="E7" s="31">
        <v>346417.8125</v>
      </c>
      <c r="F7" s="22">
        <v>677144</v>
      </c>
      <c r="G7" s="22">
        <v>212542</v>
      </c>
      <c r="H7" s="2">
        <v>0.47923167163102032</v>
      </c>
      <c r="I7" s="1">
        <v>20.58</v>
      </c>
      <c r="J7" s="1">
        <v>9.4600000000000009</v>
      </c>
      <c r="K7" s="1"/>
      <c r="L7" s="1"/>
    </row>
    <row r="8" spans="1:12" ht="24.5">
      <c r="A8" s="1">
        <v>2006</v>
      </c>
      <c r="B8" s="1">
        <v>3.31</v>
      </c>
      <c r="C8" s="2">
        <v>12</v>
      </c>
      <c r="D8" s="23">
        <v>660268.05299999996</v>
      </c>
      <c r="E8" s="31">
        <v>386600.8125</v>
      </c>
      <c r="F8" s="22">
        <v>791339</v>
      </c>
      <c r="G8" s="22">
        <v>251084</v>
      </c>
      <c r="H8" s="2">
        <v>2.2090231406963938</v>
      </c>
      <c r="I8" s="1">
        <v>33.049999999999997</v>
      </c>
      <c r="J8" s="1">
        <v>9.59</v>
      </c>
      <c r="K8" s="1"/>
      <c r="L8" s="1"/>
    </row>
    <row r="9" spans="1:12" ht="24.5">
      <c r="A9" s="1">
        <v>2007</v>
      </c>
      <c r="B9" s="1">
        <v>2.21</v>
      </c>
      <c r="C9" s="2">
        <v>11.2</v>
      </c>
      <c r="D9" s="23">
        <v>789755.48800000001</v>
      </c>
      <c r="E9" s="31">
        <v>372760.15625</v>
      </c>
      <c r="F9" s="22">
        <v>874403</v>
      </c>
      <c r="G9" s="22">
        <v>324918</v>
      </c>
      <c r="H9" s="2">
        <v>4.1678235843157996</v>
      </c>
      <c r="I9" s="1">
        <v>23.46</v>
      </c>
      <c r="J9" s="1">
        <v>7.98</v>
      </c>
      <c r="K9" s="1"/>
      <c r="L9" s="1"/>
    </row>
    <row r="10" spans="1:12" ht="24.5">
      <c r="A10" s="1">
        <v>2008</v>
      </c>
      <c r="B10" s="1">
        <v>6.24</v>
      </c>
      <c r="C10" s="2">
        <v>10</v>
      </c>
      <c r="D10" s="23">
        <v>929124.571</v>
      </c>
      <c r="E10" s="31">
        <v>524037.875</v>
      </c>
      <c r="F10" s="22">
        <v>1175482</v>
      </c>
      <c r="G10" s="22">
        <v>416527.8</v>
      </c>
      <c r="H10" s="2">
        <v>9.8702481676026874</v>
      </c>
      <c r="I10" s="1">
        <v>30.03</v>
      </c>
      <c r="J10" s="1">
        <v>8.64</v>
      </c>
      <c r="K10" s="1"/>
      <c r="L10" s="1"/>
    </row>
    <row r="11" spans="1:12" ht="24.5">
      <c r="A11" s="1">
        <v>2009</v>
      </c>
      <c r="B11" s="1">
        <v>-1.07</v>
      </c>
      <c r="C11" s="2">
        <v>10.5</v>
      </c>
      <c r="D11" s="23">
        <v>1028943.781</v>
      </c>
      <c r="E11" s="31">
        <v>106249.2578125</v>
      </c>
      <c r="F11" s="22">
        <v>721109</v>
      </c>
      <c r="G11" s="22">
        <v>345448</v>
      </c>
      <c r="H11" s="2">
        <v>5.0572227614832972</v>
      </c>
      <c r="I11" s="1">
        <v>-3.43</v>
      </c>
      <c r="J11" s="1">
        <v>5.63</v>
      </c>
      <c r="K11" s="1"/>
      <c r="L11" s="1"/>
    </row>
    <row r="12" spans="1:12" ht="24.5">
      <c r="A12" s="1">
        <v>2010</v>
      </c>
      <c r="B12" s="1">
        <v>5.04</v>
      </c>
      <c r="C12" s="2">
        <v>11.2</v>
      </c>
      <c r="D12" s="23">
        <v>1080369.7916849901</v>
      </c>
      <c r="E12" s="31">
        <v>279055.59375</v>
      </c>
      <c r="F12" s="22">
        <v>941785</v>
      </c>
      <c r="G12" s="22">
        <v>387827</v>
      </c>
      <c r="H12" s="2">
        <v>5.3394173302090326</v>
      </c>
      <c r="I12" s="1">
        <v>12.05</v>
      </c>
      <c r="J12" s="1">
        <v>2.81</v>
      </c>
      <c r="K12" s="57"/>
      <c r="L12" s="57"/>
    </row>
    <row r="13" spans="1:12" ht="24.5">
      <c r="A13" s="1">
        <v>2011</v>
      </c>
      <c r="B13" s="1">
        <v>11.76</v>
      </c>
      <c r="C13" s="2">
        <v>12.4</v>
      </c>
      <c r="D13" s="23">
        <v>1239545.4454061601</v>
      </c>
      <c r="E13" s="31">
        <v>618711.75</v>
      </c>
      <c r="F13" s="22">
        <v>1367620</v>
      </c>
      <c r="G13" s="22">
        <v>479136.4</v>
      </c>
      <c r="H13" s="2">
        <v>5.8262163739404214</v>
      </c>
      <c r="I13" s="6">
        <v>11.16</v>
      </c>
      <c r="J13" s="6">
        <v>11.92</v>
      </c>
      <c r="K13" s="57"/>
      <c r="L13" s="57"/>
    </row>
    <row r="14" spans="1:12" ht="24.5">
      <c r="A14" s="1">
        <v>2012</v>
      </c>
      <c r="B14" s="1">
        <v>5.76</v>
      </c>
      <c r="C14" s="2">
        <v>12.1</v>
      </c>
      <c r="D14" s="23">
        <v>1408073.5002884101</v>
      </c>
      <c r="E14" s="31">
        <v>651239.875</v>
      </c>
      <c r="F14" s="22">
        <v>1456502</v>
      </c>
      <c r="G14" s="22">
        <v>567754</v>
      </c>
      <c r="H14" s="2">
        <v>2.866270299050528</v>
      </c>
      <c r="I14" s="6">
        <v>4.87</v>
      </c>
      <c r="J14" s="6">
        <v>9.76</v>
      </c>
      <c r="K14" s="57"/>
      <c r="L14" s="57"/>
    </row>
    <row r="15" spans="1:12" ht="24.5">
      <c r="A15" s="1">
        <v>2013</v>
      </c>
      <c r="B15" s="1">
        <v>2.95</v>
      </c>
      <c r="C15" s="2">
        <v>11.7</v>
      </c>
      <c r="D15" s="23">
        <v>1561070.4441776499</v>
      </c>
      <c r="E15" s="31">
        <v>536506.3125</v>
      </c>
      <c r="F15" s="22">
        <v>1409524</v>
      </c>
      <c r="G15" s="22">
        <v>614539</v>
      </c>
      <c r="H15" s="2">
        <v>3.5110420979985681</v>
      </c>
      <c r="I15" s="6">
        <v>0.28000000000000003</v>
      </c>
      <c r="J15" s="6">
        <v>7.63</v>
      </c>
      <c r="K15" s="57"/>
      <c r="L15" s="57"/>
    </row>
    <row r="16" spans="1:12" ht="24.5">
      <c r="A16" s="1">
        <v>2014</v>
      </c>
      <c r="B16" s="1">
        <v>4.0199999999999996</v>
      </c>
      <c r="C16" s="2">
        <v>11.7</v>
      </c>
      <c r="D16" s="23">
        <v>1741889.1831117601</v>
      </c>
      <c r="E16" s="31">
        <v>300974.375</v>
      </c>
      <c r="F16" s="22">
        <v>1284122</v>
      </c>
      <c r="G16" s="22">
        <v>651876</v>
      </c>
      <c r="H16" s="2">
        <v>2.241853487790634</v>
      </c>
      <c r="I16" s="6">
        <v>8.91</v>
      </c>
      <c r="J16" s="6">
        <v>9.3699999999999992</v>
      </c>
      <c r="K16" s="57"/>
      <c r="L16" s="57"/>
    </row>
    <row r="17" spans="1:12" ht="24.5">
      <c r="A17" s="1">
        <v>2015</v>
      </c>
      <c r="B17" s="1">
        <v>4.66</v>
      </c>
      <c r="C17" s="2">
        <v>11.5</v>
      </c>
      <c r="D17" s="23">
        <v>1785582.0634788801</v>
      </c>
      <c r="E17" s="31">
        <v>-197401.1875</v>
      </c>
      <c r="F17" s="22">
        <v>763313.06252200005</v>
      </c>
      <c r="G17" s="22">
        <v>655033.28754000005</v>
      </c>
      <c r="H17" s="2">
        <v>1.222693185523368</v>
      </c>
      <c r="I17" s="6">
        <v>2.73</v>
      </c>
      <c r="J17" s="6">
        <v>4.6500000000000004</v>
      </c>
      <c r="K17" s="57"/>
      <c r="L17" s="57"/>
    </row>
    <row r="18" spans="1:12" ht="24.5">
      <c r="A18" s="1">
        <v>2016</v>
      </c>
      <c r="B18" s="1">
        <v>1.7</v>
      </c>
      <c r="C18" s="2">
        <v>12.3</v>
      </c>
      <c r="D18" s="23">
        <v>1799707.68409525</v>
      </c>
      <c r="E18" s="31">
        <v>-91703.40625</v>
      </c>
      <c r="F18" s="22">
        <v>688424</v>
      </c>
      <c r="G18" s="22">
        <v>525636.39641000004</v>
      </c>
      <c r="H18" s="2">
        <v>2.05347076823965</v>
      </c>
      <c r="I18" s="6">
        <v>-14.11</v>
      </c>
      <c r="J18" s="6">
        <v>-4.3600000000000003</v>
      </c>
      <c r="K18" s="57"/>
      <c r="L18" s="57"/>
    </row>
    <row r="19" spans="1:12" ht="24.5">
      <c r="A19" s="1">
        <v>2017</v>
      </c>
      <c r="B19" s="1">
        <v>1.18</v>
      </c>
      <c r="C19" s="2">
        <v>12.8</v>
      </c>
      <c r="D19" s="23">
        <v>1805171.37263429</v>
      </c>
      <c r="E19" s="31">
        <v>45470.328125</v>
      </c>
      <c r="F19" s="22">
        <v>831882.19397000002</v>
      </c>
      <c r="G19" s="22">
        <v>504446.37335900002</v>
      </c>
      <c r="H19" s="2">
        <v>-0.83484573502724635</v>
      </c>
      <c r="I19" s="6">
        <v>-2.73</v>
      </c>
      <c r="J19" s="6">
        <v>4.1100000000000003</v>
      </c>
      <c r="K19" s="57"/>
      <c r="L19" s="57"/>
    </row>
    <row r="20" spans="1:12" ht="24.5">
      <c r="A20" s="1">
        <v>2018</v>
      </c>
      <c r="B20" s="1">
        <v>3.23</v>
      </c>
      <c r="C20" s="2">
        <v>12.9</v>
      </c>
      <c r="D20" s="23">
        <v>1853645.3718538999</v>
      </c>
      <c r="E20" s="31">
        <v>273584.875</v>
      </c>
      <c r="F20" s="22">
        <v>1103900.485991</v>
      </c>
      <c r="G20" s="22">
        <v>513992.53633700003</v>
      </c>
      <c r="H20" s="2">
        <v>2.4659430899484329</v>
      </c>
      <c r="I20" s="6">
        <v>-1.3</v>
      </c>
      <c r="J20" s="6">
        <v>3.96</v>
      </c>
      <c r="K20" s="57"/>
      <c r="L20" s="57"/>
    </row>
    <row r="21" spans="1:12" ht="24.5">
      <c r="A21" s="1">
        <v>2019</v>
      </c>
      <c r="B21" s="1">
        <v>1.65</v>
      </c>
      <c r="C21" s="2">
        <v>12.2091294299331</v>
      </c>
      <c r="D21" s="23">
        <v>1985139.4515587401</v>
      </c>
      <c r="E21" s="31">
        <v>144191.90625</v>
      </c>
      <c r="F21" s="22">
        <v>981012</v>
      </c>
      <c r="G21" s="22">
        <v>574361</v>
      </c>
      <c r="H21" s="2">
        <v>-1.1929864453331991</v>
      </c>
      <c r="I21" s="6">
        <v>14.49</v>
      </c>
      <c r="J21" s="6">
        <v>3.09</v>
      </c>
      <c r="K21" s="57"/>
      <c r="L21" s="57"/>
    </row>
    <row r="22" spans="1:12" ht="24.5">
      <c r="A22" s="1">
        <v>2020</v>
      </c>
      <c r="B22" s="1">
        <v>-3.8</v>
      </c>
      <c r="C22" s="2">
        <v>13.7</v>
      </c>
      <c r="D22" s="23">
        <v>2149267.0668304702</v>
      </c>
      <c r="E22" s="31">
        <v>-95802.1484375</v>
      </c>
      <c r="F22" s="22">
        <v>651952</v>
      </c>
      <c r="G22" s="22">
        <v>517491.638607</v>
      </c>
      <c r="H22" s="2">
        <v>3.372349610123027</v>
      </c>
      <c r="I22" s="6">
        <v>-19.18</v>
      </c>
      <c r="J22" s="6">
        <v>-1.68</v>
      </c>
      <c r="K22" s="57"/>
      <c r="L22" s="57"/>
    </row>
    <row r="23" spans="1:12" ht="24.5">
      <c r="A23" s="1">
        <v>2021</v>
      </c>
      <c r="B23" s="1">
        <v>6.52</v>
      </c>
      <c r="C23" s="2">
        <v>11.788428468975299</v>
      </c>
      <c r="D23" s="23">
        <v>2308819.9554417101</v>
      </c>
      <c r="E23" s="31">
        <v>152001.109375</v>
      </c>
      <c r="F23" s="22">
        <v>1035671</v>
      </c>
      <c r="G23" s="22">
        <v>573184.87310900004</v>
      </c>
      <c r="H23" s="2">
        <v>3.0632898894154819</v>
      </c>
      <c r="I23" s="6">
        <v>21.04</v>
      </c>
      <c r="J23" s="6">
        <v>4.3099999999999996</v>
      </c>
      <c r="K23" s="57"/>
      <c r="L23" s="57"/>
    </row>
    <row r="24" spans="1:12" ht="24.5">
      <c r="A24" s="1">
        <v>2022</v>
      </c>
      <c r="B24" s="1">
        <v>12</v>
      </c>
      <c r="C24" s="2">
        <v>9.6464742862681891</v>
      </c>
      <c r="D24" s="23">
        <v>2495372.01592683</v>
      </c>
      <c r="E24" s="31">
        <v>563825.6875</v>
      </c>
      <c r="F24" s="22">
        <v>1541941</v>
      </c>
      <c r="G24" s="22">
        <v>712037.59907200001</v>
      </c>
      <c r="H24" s="2">
        <v>2.4740737192537172</v>
      </c>
      <c r="I24" s="6">
        <v>15.75</v>
      </c>
      <c r="J24" s="6">
        <v>7.04</v>
      </c>
      <c r="K24" s="57"/>
      <c r="L24" s="57"/>
    </row>
    <row r="25" spans="1:12" ht="24.5">
      <c r="A25" s="33">
        <v>2023</v>
      </c>
      <c r="B25" s="33">
        <v>0.54</v>
      </c>
      <c r="C25" s="34">
        <v>8.4256732199050806</v>
      </c>
      <c r="D25" s="35">
        <v>2685343.2257096898</v>
      </c>
      <c r="E25" s="36">
        <v>131749.75</v>
      </c>
      <c r="F25" s="37">
        <v>1200069</v>
      </c>
      <c r="G25" s="37">
        <v>776024.258547</v>
      </c>
      <c r="H25" s="34">
        <v>2.3270851836269859</v>
      </c>
      <c r="I25" s="6">
        <v>8.69</v>
      </c>
      <c r="J25" s="6">
        <v>6.96</v>
      </c>
      <c r="K25" s="57"/>
      <c r="L25" s="57"/>
    </row>
    <row r="26" spans="1:12" ht="24.5">
      <c r="A26" s="33">
        <v>2024</v>
      </c>
      <c r="B26" s="33">
        <v>2.65</v>
      </c>
      <c r="C26" s="39">
        <v>7.3763120895112602</v>
      </c>
      <c r="D26" s="35">
        <v>2921472.31932873</v>
      </c>
      <c r="E26" s="36">
        <v>-10270.0078125</v>
      </c>
      <c r="F26" s="40">
        <v>1145623</v>
      </c>
      <c r="G26" s="40">
        <v>873024</v>
      </c>
      <c r="H26" s="39">
        <v>1.6879211237580889</v>
      </c>
      <c r="I26" s="6">
        <v>6.76</v>
      </c>
      <c r="J26" s="6">
        <v>3.57</v>
      </c>
    </row>
    <row r="27" spans="1:12" ht="24.5">
      <c r="A27" s="1"/>
    </row>
  </sheetData>
  <conditionalFormatting sqref="K12:K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CCD6-DC13-4114-B9E6-2FCE71562436}">
  <dimension ref="A1:U67"/>
  <sheetViews>
    <sheetView topLeftCell="K1" zoomScale="62" workbookViewId="0"/>
  </sheetViews>
  <sheetFormatPr defaultRowHeight="14.5"/>
  <cols>
    <col min="2" max="2" width="17.26953125" customWidth="1"/>
    <col min="3" max="3" width="20.36328125" customWidth="1"/>
    <col min="4" max="4" width="19.08984375" customWidth="1"/>
    <col min="5" max="5" width="21.453125" customWidth="1"/>
    <col min="6" max="6" width="35.26953125" customWidth="1"/>
    <col min="7" max="7" width="20.08984375" customWidth="1"/>
    <col min="8" max="8" width="22.6328125" customWidth="1"/>
    <col min="9" max="9" width="19.7265625" customWidth="1"/>
    <col min="10" max="10" width="19" customWidth="1"/>
    <col min="11" max="11" width="20.54296875" customWidth="1"/>
    <col min="12" max="12" width="16" customWidth="1"/>
    <col min="13" max="13" width="15.7265625" customWidth="1"/>
    <col min="14" max="14" width="17.26953125" customWidth="1"/>
    <col min="15" max="15" width="23" customWidth="1"/>
    <col min="16" max="16" width="21.453125" bestFit="1" customWidth="1"/>
    <col min="17" max="17" width="19.6328125" customWidth="1"/>
    <col min="18" max="18" width="19.26953125" customWidth="1"/>
    <col min="19" max="19" width="13.81640625" customWidth="1"/>
    <col min="20" max="20" width="18.26953125" customWidth="1"/>
    <col min="21" max="21" width="22.54296875" customWidth="1"/>
  </cols>
  <sheetData>
    <row r="1" spans="1:21" s="55" customFormat="1" ht="23.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</row>
    <row r="2" spans="1:21" ht="23.5">
      <c r="A2" s="6">
        <v>2000</v>
      </c>
      <c r="B2" s="6">
        <v>6.97</v>
      </c>
      <c r="C2" s="6">
        <v>4.33</v>
      </c>
      <c r="D2" s="6">
        <v>3</v>
      </c>
      <c r="E2" s="6">
        <v>4.72</v>
      </c>
      <c r="F2" s="6">
        <v>17.190000000000001</v>
      </c>
      <c r="G2" s="6">
        <v>214424</v>
      </c>
      <c r="H2" s="6">
        <v>43641</v>
      </c>
      <c r="I2" s="6">
        <v>258065</v>
      </c>
      <c r="J2" s="6">
        <v>216958</v>
      </c>
      <c r="K2" s="6">
        <v>18364</v>
      </c>
      <c r="L2" s="6">
        <v>6.5</v>
      </c>
      <c r="M2" s="6">
        <v>17.600000000000001</v>
      </c>
      <c r="N2" s="6">
        <v>8.1449999999999996</v>
      </c>
      <c r="O2" s="6">
        <v>-1.1249983851764001</v>
      </c>
      <c r="P2" s="6">
        <v>165500.38800000001</v>
      </c>
      <c r="Q2" s="6">
        <v>256332.394</v>
      </c>
      <c r="R2" s="6">
        <v>318989.30900000001</v>
      </c>
      <c r="S2" s="6"/>
      <c r="T2" s="6"/>
      <c r="U2" s="6"/>
    </row>
    <row r="3" spans="1:21" ht="23.5">
      <c r="A3" s="6">
        <v>2001</v>
      </c>
      <c r="B3" s="6">
        <v>-3.92</v>
      </c>
      <c r="C3" s="6">
        <v>3.89</v>
      </c>
      <c r="D3" s="6">
        <v>2.3199999999999998</v>
      </c>
      <c r="E3" s="6">
        <v>0.34</v>
      </c>
      <c r="F3" s="6">
        <v>-2.84</v>
      </c>
      <c r="G3" s="6">
        <v>183915</v>
      </c>
      <c r="H3" s="6">
        <v>44244</v>
      </c>
      <c r="I3" s="6">
        <v>228159</v>
      </c>
      <c r="J3" s="6">
        <v>223508</v>
      </c>
      <c r="K3" s="6">
        <v>31632</v>
      </c>
      <c r="L3" s="6">
        <v>6.8</v>
      </c>
      <c r="M3" s="6">
        <v>17.3</v>
      </c>
      <c r="N3" s="6">
        <v>8.34</v>
      </c>
      <c r="O3" s="6">
        <v>-1.1209480489679129</v>
      </c>
      <c r="P3" s="6">
        <v>179395.894</v>
      </c>
      <c r="Q3" s="6">
        <v>271080.48499999999</v>
      </c>
      <c r="R3" s="6">
        <v>339982.87099999998</v>
      </c>
      <c r="S3" s="6"/>
      <c r="T3" s="6"/>
      <c r="U3" s="6"/>
    </row>
    <row r="4" spans="1:21" ht="23.5">
      <c r="A4" s="6">
        <v>2002</v>
      </c>
      <c r="B4" s="6">
        <v>-7.26</v>
      </c>
      <c r="C4" s="6">
        <v>3.79</v>
      </c>
      <c r="D4" s="6">
        <v>2.41</v>
      </c>
      <c r="E4" s="6">
        <v>-0.69</v>
      </c>
      <c r="F4" s="6">
        <v>2.97</v>
      </c>
      <c r="G4" s="6">
        <v>166100</v>
      </c>
      <c r="H4" s="6">
        <v>46900</v>
      </c>
      <c r="I4" s="6">
        <v>213000</v>
      </c>
      <c r="J4" s="6">
        <v>203500</v>
      </c>
      <c r="K4" s="6">
        <v>30000</v>
      </c>
      <c r="L4" s="6">
        <v>7.6</v>
      </c>
      <c r="M4" s="6">
        <v>21.7</v>
      </c>
      <c r="N4" s="6">
        <v>9.66</v>
      </c>
      <c r="O4" s="6">
        <v>0.24718649233972509</v>
      </c>
      <c r="P4" s="6">
        <v>202339.071</v>
      </c>
      <c r="Q4" s="6">
        <v>310367.266</v>
      </c>
      <c r="R4" s="6">
        <v>390208.56300000002</v>
      </c>
      <c r="S4" s="6"/>
      <c r="T4" s="6"/>
      <c r="U4" s="6"/>
    </row>
    <row r="5" spans="1:21" ht="23.5">
      <c r="A5" s="6">
        <v>2003</v>
      </c>
      <c r="B5" s="6">
        <v>17.239999999999998</v>
      </c>
      <c r="C5" s="6">
        <v>4.37</v>
      </c>
      <c r="D5" s="6">
        <v>2.61</v>
      </c>
      <c r="E5" s="6">
        <v>8.77</v>
      </c>
      <c r="F5" s="6">
        <v>13.82</v>
      </c>
      <c r="G5" s="6">
        <v>231000</v>
      </c>
      <c r="H5" s="6">
        <v>62000</v>
      </c>
      <c r="I5" s="6">
        <v>293000</v>
      </c>
      <c r="J5" s="6">
        <v>223530</v>
      </c>
      <c r="K5" s="6">
        <v>33470</v>
      </c>
      <c r="L5" s="6">
        <v>8</v>
      </c>
      <c r="M5" s="6">
        <v>23.2</v>
      </c>
      <c r="N5" s="6">
        <v>10.35</v>
      </c>
      <c r="O5" s="6">
        <v>0.61219535817296622</v>
      </c>
      <c r="P5" s="6">
        <v>223021.86</v>
      </c>
      <c r="Q5" s="6">
        <v>336403.74099999998</v>
      </c>
      <c r="R5" s="6">
        <v>417106.78200000001</v>
      </c>
      <c r="S5" s="6"/>
      <c r="T5" s="6"/>
      <c r="U5" s="6"/>
    </row>
    <row r="6" spans="1:21" ht="23.5">
      <c r="A6" s="6">
        <v>2004</v>
      </c>
      <c r="B6" s="6">
        <v>7.05</v>
      </c>
      <c r="C6" s="6">
        <v>13.26</v>
      </c>
      <c r="D6" s="6">
        <v>2.1800000000000002</v>
      </c>
      <c r="E6" s="6">
        <v>8.6300000000000008</v>
      </c>
      <c r="F6" s="6">
        <v>19.89</v>
      </c>
      <c r="G6" s="6">
        <v>330000</v>
      </c>
      <c r="H6" s="6">
        <v>62291</v>
      </c>
      <c r="I6" s="6">
        <v>392291</v>
      </c>
      <c r="J6" s="6">
        <v>247649</v>
      </c>
      <c r="K6" s="6">
        <v>37551</v>
      </c>
      <c r="L6" s="6">
        <v>8.4</v>
      </c>
      <c r="M6" s="6">
        <v>24.4</v>
      </c>
      <c r="N6" s="6">
        <v>11</v>
      </c>
      <c r="O6" s="6">
        <v>0.51550789776726025</v>
      </c>
      <c r="P6" s="6">
        <v>271303.38099999999</v>
      </c>
      <c r="Q6" s="6">
        <v>407976.261</v>
      </c>
      <c r="R6" s="6">
        <v>495667.92499999999</v>
      </c>
      <c r="S6" s="6"/>
      <c r="T6" s="6"/>
      <c r="U6" s="6"/>
    </row>
    <row r="7" spans="1:21" ht="23.5">
      <c r="A7" s="6">
        <v>2005</v>
      </c>
      <c r="B7" s="6">
        <v>4.2300000000000004</v>
      </c>
      <c r="C7" s="6">
        <v>9.44</v>
      </c>
      <c r="D7" s="6">
        <v>3.34</v>
      </c>
      <c r="E7" s="6">
        <v>5.94</v>
      </c>
      <c r="F7" s="6">
        <v>26.85</v>
      </c>
      <c r="G7" s="6">
        <v>504540</v>
      </c>
      <c r="H7" s="6">
        <v>59795</v>
      </c>
      <c r="I7" s="6">
        <v>564335</v>
      </c>
      <c r="J7" s="6">
        <v>284173</v>
      </c>
      <c r="K7" s="6">
        <v>62301</v>
      </c>
      <c r="L7" s="6">
        <v>8.6999999999999993</v>
      </c>
      <c r="M7" s="6">
        <v>25.4</v>
      </c>
      <c r="N7" s="6">
        <v>11.52</v>
      </c>
      <c r="O7" s="6">
        <v>0.47923167163102032</v>
      </c>
      <c r="P7" s="6">
        <v>283539.07400000002</v>
      </c>
      <c r="Q7" s="6">
        <v>448805.47100000002</v>
      </c>
      <c r="R7" s="6">
        <v>553347.93299999996</v>
      </c>
      <c r="S7" s="6"/>
      <c r="T7" s="6"/>
      <c r="U7" s="6"/>
    </row>
    <row r="8" spans="1:21" ht="23.5">
      <c r="A8" s="6">
        <v>2006</v>
      </c>
      <c r="B8" s="6">
        <v>-1.43</v>
      </c>
      <c r="C8" s="6">
        <v>11.5</v>
      </c>
      <c r="D8" s="6">
        <v>1.89</v>
      </c>
      <c r="E8" s="6">
        <v>3.31</v>
      </c>
      <c r="F8" s="6">
        <v>14.68</v>
      </c>
      <c r="G8" s="6">
        <v>604470</v>
      </c>
      <c r="H8" s="6">
        <v>69212</v>
      </c>
      <c r="I8" s="6">
        <v>673682</v>
      </c>
      <c r="J8" s="6">
        <v>322411</v>
      </c>
      <c r="K8" s="6">
        <v>70911</v>
      </c>
      <c r="L8" s="6">
        <v>9.1</v>
      </c>
      <c r="M8" s="6">
        <v>26.3</v>
      </c>
      <c r="N8" s="6">
        <v>12</v>
      </c>
      <c r="O8" s="6">
        <v>2.2090231406963938</v>
      </c>
      <c r="P8" s="6">
        <v>312741.79200000002</v>
      </c>
      <c r="Q8" s="6">
        <v>538768.53700000001</v>
      </c>
      <c r="R8" s="6">
        <v>660268.05299999996</v>
      </c>
      <c r="S8" s="6"/>
      <c r="T8" s="6"/>
      <c r="U8" s="6"/>
    </row>
    <row r="9" spans="1:21" ht="23.5">
      <c r="A9" s="6">
        <v>2007</v>
      </c>
      <c r="B9" s="6">
        <v>-4.0199999999999996</v>
      </c>
      <c r="C9" s="6">
        <v>12.12</v>
      </c>
      <c r="D9" s="6">
        <v>1.93</v>
      </c>
      <c r="E9" s="6">
        <v>2.21</v>
      </c>
      <c r="F9" s="6">
        <v>10.44</v>
      </c>
      <c r="G9" s="6">
        <v>562186</v>
      </c>
      <c r="H9" s="6">
        <v>80614</v>
      </c>
      <c r="I9" s="6">
        <v>642800</v>
      </c>
      <c r="J9" s="6">
        <v>347199</v>
      </c>
      <c r="K9" s="6">
        <v>119049</v>
      </c>
      <c r="L9" s="6">
        <v>8</v>
      </c>
      <c r="M9" s="6">
        <v>26.6</v>
      </c>
      <c r="N9" s="6">
        <v>11.2</v>
      </c>
      <c r="O9" s="6">
        <v>4.1678235843157996</v>
      </c>
      <c r="P9" s="6">
        <v>383556.73499999999</v>
      </c>
      <c r="Q9" s="6">
        <v>666615.86</v>
      </c>
      <c r="R9" s="6">
        <v>789755.48800000001</v>
      </c>
      <c r="S9" s="6">
        <v>5.5</v>
      </c>
      <c r="T9" s="6">
        <v>4</v>
      </c>
      <c r="U9" s="6">
        <v>4.9051049999999998</v>
      </c>
    </row>
    <row r="10" spans="1:21" ht="23.5">
      <c r="A10" s="6">
        <v>2008</v>
      </c>
      <c r="B10" s="6">
        <v>4.43</v>
      </c>
      <c r="C10" s="6">
        <v>10.33</v>
      </c>
      <c r="D10" s="6">
        <v>2.39</v>
      </c>
      <c r="E10" s="6">
        <v>6.24</v>
      </c>
      <c r="F10" s="6">
        <v>25.05</v>
      </c>
      <c r="G10" s="6">
        <v>983369</v>
      </c>
      <c r="H10" s="6">
        <v>117624</v>
      </c>
      <c r="I10" s="6">
        <v>1100993</v>
      </c>
      <c r="J10" s="6">
        <v>388839</v>
      </c>
      <c r="K10" s="6">
        <v>131230</v>
      </c>
      <c r="L10" s="6">
        <v>6.8</v>
      </c>
      <c r="M10" s="6">
        <v>26.9</v>
      </c>
      <c r="N10" s="6">
        <v>10</v>
      </c>
      <c r="O10" s="6">
        <v>9.8702481676026874</v>
      </c>
      <c r="P10" s="6">
        <v>425494.07400000002</v>
      </c>
      <c r="Q10" s="6">
        <v>793117.951</v>
      </c>
      <c r="R10" s="6">
        <v>929124.571</v>
      </c>
      <c r="S10" s="6">
        <v>2.5</v>
      </c>
      <c r="T10" s="6">
        <v>1.5</v>
      </c>
      <c r="U10" s="6">
        <v>3.2845791733652101</v>
      </c>
    </row>
    <row r="11" spans="1:21" ht="23.5">
      <c r="A11" s="6">
        <v>2009</v>
      </c>
      <c r="B11" s="6">
        <v>-9.64</v>
      </c>
      <c r="C11" s="6">
        <v>6.27</v>
      </c>
      <c r="D11" s="6">
        <v>5.03</v>
      </c>
      <c r="E11" s="6">
        <v>-1.07</v>
      </c>
      <c r="F11" s="6">
        <v>-17.45</v>
      </c>
      <c r="G11" s="6">
        <v>434420</v>
      </c>
      <c r="H11" s="6">
        <v>75385</v>
      </c>
      <c r="I11" s="6">
        <v>509805</v>
      </c>
      <c r="J11" s="6">
        <v>416594</v>
      </c>
      <c r="K11" s="6">
        <v>179840</v>
      </c>
      <c r="L11" s="6">
        <v>6.9</v>
      </c>
      <c r="M11" s="6">
        <v>28.4</v>
      </c>
      <c r="N11" s="6">
        <v>10.5</v>
      </c>
      <c r="O11" s="6">
        <v>5.0572227614832972</v>
      </c>
      <c r="P11" s="6">
        <v>521557.56300000002</v>
      </c>
      <c r="Q11" s="6">
        <v>844934.59199999995</v>
      </c>
      <c r="R11" s="6">
        <v>1028943.781</v>
      </c>
      <c r="S11" s="6">
        <v>2</v>
      </c>
      <c r="T11" s="6">
        <v>0.25</v>
      </c>
      <c r="U11" s="6">
        <v>0.91130028608736902</v>
      </c>
    </row>
    <row r="12" spans="1:21" ht="23.5">
      <c r="A12" s="6">
        <v>2010</v>
      </c>
      <c r="B12" s="6">
        <v>-0.21</v>
      </c>
      <c r="C12" s="6">
        <v>10.55</v>
      </c>
      <c r="D12" s="6">
        <v>6.83</v>
      </c>
      <c r="E12" s="6">
        <v>5.04</v>
      </c>
      <c r="F12" s="6">
        <v>23.1</v>
      </c>
      <c r="G12" s="6">
        <v>670235</v>
      </c>
      <c r="H12" s="6">
        <v>70637</v>
      </c>
      <c r="I12" s="6">
        <v>740872</v>
      </c>
      <c r="J12" s="6">
        <v>483996</v>
      </c>
      <c r="K12" s="6">
        <v>169890</v>
      </c>
      <c r="L12" s="6">
        <v>7.1</v>
      </c>
      <c r="M12" s="6">
        <v>30.6</v>
      </c>
      <c r="N12" s="6">
        <v>11.2</v>
      </c>
      <c r="O12" s="6">
        <v>5.3394173302090326</v>
      </c>
      <c r="P12" s="6">
        <v>625592.07468498999</v>
      </c>
      <c r="Q12" s="6">
        <v>923874.62068498996</v>
      </c>
      <c r="R12" s="6">
        <v>1080369.7916849901</v>
      </c>
      <c r="S12" s="6">
        <v>2</v>
      </c>
      <c r="T12" s="6">
        <v>0.25</v>
      </c>
      <c r="U12" s="6">
        <v>0.73586270384615404</v>
      </c>
    </row>
    <row r="13" spans="1:21" ht="23.5">
      <c r="A13" s="6">
        <v>2011</v>
      </c>
      <c r="B13" s="6">
        <v>12.36</v>
      </c>
      <c r="C13" s="6">
        <v>12.35</v>
      </c>
      <c r="D13" s="6">
        <v>7.86</v>
      </c>
      <c r="E13" s="6">
        <v>11.76</v>
      </c>
      <c r="F13" s="6">
        <v>28.86</v>
      </c>
      <c r="G13" s="6">
        <v>1034362</v>
      </c>
      <c r="H13" s="6">
        <v>83165</v>
      </c>
      <c r="I13" s="6">
        <v>1117527</v>
      </c>
      <c r="J13" s="6">
        <v>583895</v>
      </c>
      <c r="K13" s="6">
        <v>242805</v>
      </c>
      <c r="L13" s="6">
        <v>7.4</v>
      </c>
      <c r="M13" s="6">
        <v>33.4</v>
      </c>
      <c r="N13" s="6">
        <v>12.4</v>
      </c>
      <c r="O13" s="6">
        <v>5.8262163739404214</v>
      </c>
      <c r="P13" s="6">
        <v>761995.19640616002</v>
      </c>
      <c r="Q13" s="6">
        <v>1078395.84240616</v>
      </c>
      <c r="R13" s="6">
        <v>1239545.4454061601</v>
      </c>
      <c r="S13" s="6">
        <v>2</v>
      </c>
      <c r="T13" s="6">
        <v>0.25</v>
      </c>
      <c r="U13" s="6">
        <v>0.694466619183286</v>
      </c>
    </row>
    <row r="14" spans="1:21" ht="23.5">
      <c r="A14" s="6">
        <v>2012</v>
      </c>
      <c r="B14" s="6">
        <v>5.0999999999999996</v>
      </c>
      <c r="C14" s="6">
        <v>6.56</v>
      </c>
      <c r="D14" s="6">
        <v>5.39</v>
      </c>
      <c r="E14" s="6">
        <v>5.76</v>
      </c>
      <c r="F14" s="6">
        <v>10.47</v>
      </c>
      <c r="G14" s="6">
        <v>1144818</v>
      </c>
      <c r="H14" s="6">
        <v>101720</v>
      </c>
      <c r="I14" s="6">
        <v>1246538</v>
      </c>
      <c r="J14" s="6">
        <v>713330</v>
      </c>
      <c r="K14" s="6">
        <v>203868</v>
      </c>
      <c r="L14" s="6">
        <v>6.1</v>
      </c>
      <c r="M14" s="6">
        <v>35.700000000000003</v>
      </c>
      <c r="N14" s="6">
        <v>12.1</v>
      </c>
      <c r="O14" s="6">
        <v>2.866270299050528</v>
      </c>
      <c r="P14" s="6">
        <v>889676.07328840997</v>
      </c>
      <c r="Q14" s="6">
        <v>1219355.94128841</v>
      </c>
      <c r="R14" s="6">
        <v>1408073.5002884101</v>
      </c>
      <c r="S14" s="6">
        <v>2</v>
      </c>
      <c r="T14" s="6">
        <v>0.25</v>
      </c>
      <c r="U14" s="6">
        <v>0.91631625000000005</v>
      </c>
    </row>
    <row r="15" spans="1:21" ht="23.5">
      <c r="A15" s="6">
        <v>2013</v>
      </c>
      <c r="B15" s="6">
        <v>-1.63</v>
      </c>
      <c r="C15" s="6">
        <v>8.11</v>
      </c>
      <c r="D15" s="6">
        <v>4.8600000000000003</v>
      </c>
      <c r="E15" s="6">
        <v>2.95</v>
      </c>
      <c r="F15" s="6">
        <v>2.37</v>
      </c>
      <c r="G15" s="6">
        <v>1035048</v>
      </c>
      <c r="H15" s="6">
        <v>117564</v>
      </c>
      <c r="I15" s="6">
        <v>1152612</v>
      </c>
      <c r="J15" s="6">
        <v>731873</v>
      </c>
      <c r="K15" s="6">
        <v>262861</v>
      </c>
      <c r="L15" s="6">
        <v>6.1</v>
      </c>
      <c r="M15" s="6">
        <v>33.200000000000003</v>
      </c>
      <c r="N15" s="6">
        <v>11.7</v>
      </c>
      <c r="O15" s="6">
        <v>3.5110420979985681</v>
      </c>
      <c r="P15" s="6">
        <v>1003410.23317765</v>
      </c>
      <c r="Q15" s="6">
        <v>1353676.7181776499</v>
      </c>
      <c r="R15" s="6">
        <v>1561070.4441776499</v>
      </c>
      <c r="S15" s="6">
        <v>2</v>
      </c>
      <c r="T15" s="6">
        <v>0.25</v>
      </c>
      <c r="U15" s="6">
        <v>0.95323579690145099</v>
      </c>
    </row>
    <row r="16" spans="1:21" ht="23.5">
      <c r="A16" s="6">
        <v>2014</v>
      </c>
      <c r="B16" s="6">
        <v>1.82</v>
      </c>
      <c r="C16" s="6">
        <v>6.65</v>
      </c>
      <c r="D16" s="6">
        <v>3.31</v>
      </c>
      <c r="E16" s="6">
        <v>4.0199999999999996</v>
      </c>
      <c r="F16" s="6">
        <v>2.2599999999999998</v>
      </c>
      <c r="G16" s="6">
        <v>913347</v>
      </c>
      <c r="H16" s="6">
        <v>126794</v>
      </c>
      <c r="I16" s="6">
        <v>1040141</v>
      </c>
      <c r="J16" s="6">
        <v>821160</v>
      </c>
      <c r="K16" s="6">
        <v>319443</v>
      </c>
      <c r="L16" s="6">
        <v>5.9</v>
      </c>
      <c r="M16" s="6">
        <v>32.799999999999997</v>
      </c>
      <c r="N16" s="6">
        <v>11.7</v>
      </c>
      <c r="O16" s="6">
        <v>2.241853487790634</v>
      </c>
      <c r="P16" s="6">
        <v>1145134.5531117599</v>
      </c>
      <c r="Q16" s="6">
        <v>1548554.0031117599</v>
      </c>
      <c r="R16" s="6">
        <v>1741889.1831117601</v>
      </c>
      <c r="S16" s="6">
        <v>2</v>
      </c>
      <c r="T16" s="6">
        <v>0.25</v>
      </c>
      <c r="U16" s="6">
        <v>0.93576546717171705</v>
      </c>
    </row>
    <row r="17" spans="1:21" ht="23.5">
      <c r="A17" s="6">
        <v>2015</v>
      </c>
      <c r="B17" s="6">
        <v>5.18</v>
      </c>
      <c r="C17" s="6">
        <v>4.92</v>
      </c>
      <c r="D17" s="6">
        <v>2.2599999999999998</v>
      </c>
      <c r="E17" s="6">
        <v>4.66</v>
      </c>
      <c r="F17" s="6">
        <v>-11.91</v>
      </c>
      <c r="G17" s="6">
        <v>446432</v>
      </c>
      <c r="H17" s="6">
        <v>166261</v>
      </c>
      <c r="I17" s="6">
        <v>612693</v>
      </c>
      <c r="J17" s="6">
        <v>790979</v>
      </c>
      <c r="K17" s="6">
        <v>210313</v>
      </c>
      <c r="L17" s="6">
        <v>5.3</v>
      </c>
      <c r="M17" s="6">
        <v>33.799999999999997</v>
      </c>
      <c r="N17" s="6">
        <v>11.5</v>
      </c>
      <c r="O17" s="6">
        <v>1.222693185523368</v>
      </c>
      <c r="P17" s="6">
        <v>1148642.4544788799</v>
      </c>
      <c r="Q17" s="6">
        <v>1588019.7834788801</v>
      </c>
      <c r="R17" s="6">
        <v>1785582.0634788801</v>
      </c>
      <c r="S17" s="6">
        <v>2</v>
      </c>
      <c r="T17" s="6">
        <v>0.5</v>
      </c>
      <c r="U17" s="6">
        <v>0.87969166666666698</v>
      </c>
    </row>
    <row r="18" spans="1:21" ht="23.5">
      <c r="A18" s="6">
        <v>2016</v>
      </c>
      <c r="B18" s="6">
        <v>3.83</v>
      </c>
      <c r="C18" s="6">
        <v>1.78</v>
      </c>
      <c r="D18" s="6">
        <v>-0.36</v>
      </c>
      <c r="E18" s="6">
        <v>1.7</v>
      </c>
      <c r="F18" s="6">
        <v>-0.6</v>
      </c>
      <c r="G18" s="6">
        <v>333699</v>
      </c>
      <c r="H18" s="6">
        <v>185749</v>
      </c>
      <c r="I18" s="6">
        <v>519448</v>
      </c>
      <c r="J18" s="6">
        <v>696358</v>
      </c>
      <c r="K18" s="6">
        <v>134155</v>
      </c>
      <c r="L18" s="6">
        <v>5.9</v>
      </c>
      <c r="M18" s="6">
        <v>34.5</v>
      </c>
      <c r="N18" s="6">
        <v>12.3</v>
      </c>
      <c r="O18" s="6">
        <v>2.05347076823965</v>
      </c>
      <c r="P18" s="6">
        <v>1146409.26764277</v>
      </c>
      <c r="Q18" s="6">
        <v>1642428.57552341</v>
      </c>
      <c r="R18" s="6">
        <v>1799707.68409525</v>
      </c>
      <c r="S18" s="6">
        <v>2</v>
      </c>
      <c r="T18" s="6">
        <v>0.75</v>
      </c>
      <c r="U18" s="6">
        <v>2.0661726506505298</v>
      </c>
    </row>
    <row r="19" spans="1:21" ht="23.5">
      <c r="A19" s="6">
        <v>2017</v>
      </c>
      <c r="B19" s="6">
        <v>-2.95</v>
      </c>
      <c r="C19" s="6">
        <v>3.22</v>
      </c>
      <c r="D19" s="6">
        <v>0.28999999999999998</v>
      </c>
      <c r="E19" s="6">
        <v>1.18</v>
      </c>
      <c r="F19" s="6">
        <v>7.54</v>
      </c>
      <c r="G19" s="6">
        <v>435900</v>
      </c>
      <c r="H19" s="6">
        <v>255605</v>
      </c>
      <c r="I19" s="6">
        <v>691505</v>
      </c>
      <c r="J19" s="6">
        <v>722208</v>
      </c>
      <c r="K19" s="6">
        <v>207791</v>
      </c>
      <c r="L19" s="6">
        <v>7.4</v>
      </c>
      <c r="M19" s="6">
        <v>32.5</v>
      </c>
      <c r="N19" s="6">
        <v>12.8</v>
      </c>
      <c r="O19" s="6">
        <v>-0.83484573502724635</v>
      </c>
      <c r="P19" s="6">
        <v>1174514.0987035099</v>
      </c>
      <c r="Q19" s="6">
        <v>1628666.1578989499</v>
      </c>
      <c r="R19" s="6">
        <v>1805171.37263429</v>
      </c>
      <c r="S19" s="6">
        <v>2</v>
      </c>
      <c r="T19" s="6">
        <v>1.5</v>
      </c>
      <c r="U19" s="6">
        <v>1.8116683601347301</v>
      </c>
    </row>
    <row r="20" spans="1:21" ht="23.5">
      <c r="A20" s="6">
        <v>2018</v>
      </c>
      <c r="B20" s="6">
        <v>2.86</v>
      </c>
      <c r="C20" s="6">
        <v>3.22</v>
      </c>
      <c r="D20" s="6">
        <v>3.87</v>
      </c>
      <c r="E20" s="6">
        <v>3.23</v>
      </c>
      <c r="F20" s="6">
        <v>19.600000000000001</v>
      </c>
      <c r="G20" s="6">
        <v>611239</v>
      </c>
      <c r="H20" s="6">
        <v>294370</v>
      </c>
      <c r="I20" s="6">
        <v>905609</v>
      </c>
      <c r="J20" s="6">
        <v>891146.85147750995</v>
      </c>
      <c r="K20" s="6">
        <v>188320.42986037</v>
      </c>
      <c r="L20" s="6">
        <v>7.3</v>
      </c>
      <c r="M20" s="6">
        <v>31.4</v>
      </c>
      <c r="N20" s="6">
        <v>12.9</v>
      </c>
      <c r="O20" s="6">
        <v>2.4659430899484329</v>
      </c>
      <c r="P20" s="6">
        <v>1220797.3978443099</v>
      </c>
      <c r="Q20" s="6">
        <v>1663819.81099369</v>
      </c>
      <c r="R20" s="6">
        <v>1853645.3718538999</v>
      </c>
      <c r="S20" s="6">
        <v>3</v>
      </c>
      <c r="T20" s="6">
        <v>2.5</v>
      </c>
      <c r="U20" s="6">
        <v>2.4509822118702602</v>
      </c>
    </row>
    <row r="21" spans="1:21" ht="23.5">
      <c r="A21" s="6">
        <v>2019</v>
      </c>
      <c r="B21" s="6">
        <v>-3.94</v>
      </c>
      <c r="C21" s="6">
        <v>4.8600000000000003</v>
      </c>
      <c r="D21" s="6">
        <v>1.73</v>
      </c>
      <c r="E21" s="6">
        <v>1.65</v>
      </c>
      <c r="F21" s="6">
        <v>0.26</v>
      </c>
      <c r="G21" s="6">
        <v>594424</v>
      </c>
      <c r="H21" s="6">
        <v>332422</v>
      </c>
      <c r="I21" s="6">
        <v>926846</v>
      </c>
      <c r="J21" s="6">
        <v>889996</v>
      </c>
      <c r="K21" s="6">
        <v>169449</v>
      </c>
      <c r="L21" s="6">
        <v>5.7888180981332997</v>
      </c>
      <c r="M21" s="6">
        <v>31.078611040774199</v>
      </c>
      <c r="N21" s="6">
        <v>12.2091294299331</v>
      </c>
      <c r="O21" s="6">
        <v>-1.1929864453331991</v>
      </c>
      <c r="P21" s="6">
        <v>1288311.35092112</v>
      </c>
      <c r="Q21" s="6">
        <v>1789978.2694107699</v>
      </c>
      <c r="R21" s="6">
        <v>1985139.4515587401</v>
      </c>
      <c r="S21" s="6">
        <v>2.25</v>
      </c>
      <c r="T21" s="6">
        <v>1.75</v>
      </c>
      <c r="U21" s="6">
        <v>2.6318450610962101</v>
      </c>
    </row>
    <row r="22" spans="1:21" ht="23.5">
      <c r="A22" s="6">
        <v>2020</v>
      </c>
      <c r="B22" s="6">
        <v>-6.89</v>
      </c>
      <c r="C22" s="6">
        <v>-3.02</v>
      </c>
      <c r="D22" s="6">
        <v>-0.6</v>
      </c>
      <c r="E22" s="6">
        <v>-3.8</v>
      </c>
      <c r="F22" s="6">
        <v>-13.61</v>
      </c>
      <c r="G22" s="6">
        <v>413049</v>
      </c>
      <c r="H22" s="6">
        <v>368785</v>
      </c>
      <c r="I22" s="6">
        <v>781834</v>
      </c>
      <c r="J22" s="6">
        <v>920646.37804639002</v>
      </c>
      <c r="K22" s="6">
        <v>155087.58649598001</v>
      </c>
      <c r="L22" s="6">
        <v>7.2</v>
      </c>
      <c r="M22" s="6">
        <v>28.6</v>
      </c>
      <c r="N22" s="6">
        <v>13.7</v>
      </c>
      <c r="O22" s="6">
        <v>3.372349610123027</v>
      </c>
      <c r="P22" s="6">
        <v>1488874.88021132</v>
      </c>
      <c r="Q22" s="6">
        <v>1962841.8607671701</v>
      </c>
      <c r="R22" s="6">
        <v>2149267.0668304702</v>
      </c>
      <c r="S22" s="6">
        <v>1</v>
      </c>
      <c r="T22" s="6">
        <v>0.5</v>
      </c>
      <c r="U22" s="6">
        <v>1.1922916801841099</v>
      </c>
    </row>
    <row r="23" spans="1:21" ht="23.5">
      <c r="A23" s="6">
        <v>2021</v>
      </c>
      <c r="B23" s="6">
        <v>1.22</v>
      </c>
      <c r="C23" s="6">
        <v>10.23</v>
      </c>
      <c r="D23" s="6">
        <v>1.1299999999999999</v>
      </c>
      <c r="E23" s="6">
        <v>6.52</v>
      </c>
      <c r="F23" s="6">
        <v>27.96</v>
      </c>
      <c r="G23" s="6">
        <v>562191</v>
      </c>
      <c r="H23" s="6">
        <v>403295</v>
      </c>
      <c r="I23" s="6">
        <v>965486</v>
      </c>
      <c r="J23" s="6">
        <v>921715.75464652502</v>
      </c>
      <c r="K23" s="6">
        <v>117217.27438620001</v>
      </c>
      <c r="L23" s="6">
        <v>6.3390546823725096</v>
      </c>
      <c r="M23" s="6">
        <v>22.382727323438399</v>
      </c>
      <c r="N23" s="6">
        <v>11.788428468975299</v>
      </c>
      <c r="O23" s="6">
        <v>3.0632898894154819</v>
      </c>
      <c r="P23" s="6">
        <v>1564474.2081834599</v>
      </c>
      <c r="Q23" s="6">
        <v>2059808.5748816801</v>
      </c>
      <c r="R23" s="6">
        <v>2308819.9554417101</v>
      </c>
      <c r="S23" s="6">
        <v>1</v>
      </c>
      <c r="T23" s="6">
        <v>0.5</v>
      </c>
      <c r="U23" s="6">
        <v>0.80999145786917603</v>
      </c>
    </row>
    <row r="24" spans="1:21" ht="23.5">
      <c r="A24" s="6">
        <v>2022</v>
      </c>
      <c r="B24" s="6">
        <v>14.96</v>
      </c>
      <c r="C24" s="6">
        <v>12.41</v>
      </c>
      <c r="D24" s="6">
        <v>4.6399999999999997</v>
      </c>
      <c r="E24" s="6">
        <v>12</v>
      </c>
      <c r="F24" s="6">
        <v>26.09</v>
      </c>
      <c r="G24" s="6">
        <v>857271.75581132504</v>
      </c>
      <c r="H24" s="6">
        <v>410891.39162155997</v>
      </c>
      <c r="I24" s="6">
        <v>1268164</v>
      </c>
      <c r="J24" s="6">
        <v>1020845</v>
      </c>
      <c r="K24" s="6">
        <v>143464</v>
      </c>
      <c r="L24" s="6">
        <v>4.6885768763363398</v>
      </c>
      <c r="M24" s="6">
        <v>19.014829260449702</v>
      </c>
      <c r="N24" s="6">
        <v>9.6464742862681891</v>
      </c>
      <c r="O24" s="6">
        <v>2.4740737192537172</v>
      </c>
      <c r="P24" s="6">
        <v>1528126.0624528299</v>
      </c>
      <c r="Q24" s="6">
        <v>2182890.33380283</v>
      </c>
      <c r="R24" s="6">
        <v>2495372.01592683</v>
      </c>
      <c r="S24" s="6">
        <v>5</v>
      </c>
      <c r="T24" s="6">
        <v>4.5</v>
      </c>
      <c r="U24" s="6">
        <v>3.1254128924010498</v>
      </c>
    </row>
    <row r="25" spans="1:21" ht="23.5">
      <c r="A25" s="6">
        <v>2023</v>
      </c>
      <c r="B25" s="6">
        <v>-9.0500000000000007</v>
      </c>
      <c r="C25" s="6">
        <v>6.96</v>
      </c>
      <c r="D25" s="6">
        <v>1.1000000000000001</v>
      </c>
      <c r="E25" s="6">
        <v>0.54</v>
      </c>
      <c r="F25" s="6">
        <v>-1.65</v>
      </c>
      <c r="G25" s="6">
        <v>754561.76612831198</v>
      </c>
      <c r="H25" s="6">
        <v>457727.83454693999</v>
      </c>
      <c r="I25" s="6">
        <v>1212289.6006752499</v>
      </c>
      <c r="J25" s="6">
        <v>1106739.7316769699</v>
      </c>
      <c r="K25" s="6">
        <v>186496.36016422001</v>
      </c>
      <c r="L25" s="6">
        <v>4.6569091253362496</v>
      </c>
      <c r="M25" s="6">
        <v>15.6770384175757</v>
      </c>
      <c r="N25" s="6">
        <v>8.4256732199050806</v>
      </c>
      <c r="O25" s="6">
        <v>2.3270851836269859</v>
      </c>
      <c r="P25" s="6">
        <v>1524215.17221318</v>
      </c>
      <c r="Q25" s="6">
        <v>2388284.5961173601</v>
      </c>
      <c r="R25" s="6">
        <v>2685343.2257096898</v>
      </c>
      <c r="S25" s="6">
        <v>6</v>
      </c>
      <c r="T25" s="6">
        <v>5.5</v>
      </c>
      <c r="U25" s="6">
        <v>5.9304400419887298</v>
      </c>
    </row>
    <row r="26" spans="1:21" ht="23.5">
      <c r="A26" s="6">
        <v>2024</v>
      </c>
      <c r="B26" s="6">
        <v>-4.41</v>
      </c>
      <c r="C26" s="6">
        <v>6</v>
      </c>
      <c r="D26" s="6">
        <v>3.33</v>
      </c>
      <c r="E26" s="6">
        <v>2.65</v>
      </c>
      <c r="F26" s="6">
        <v>2.92</v>
      </c>
      <c r="G26" s="6">
        <v>756623.94522763498</v>
      </c>
      <c r="H26" s="6">
        <v>502471.48987171199</v>
      </c>
      <c r="I26" s="6">
        <v>1259095.4350993501</v>
      </c>
      <c r="J26" s="6">
        <v>1184056.0244447601</v>
      </c>
      <c r="K26" s="6">
        <v>190664.22432840001</v>
      </c>
      <c r="L26" s="6">
        <v>4.2975496255546499</v>
      </c>
      <c r="M26" s="6">
        <v>13.0911723612563</v>
      </c>
      <c r="N26" s="6">
        <v>7.3763120895112602</v>
      </c>
      <c r="O26" s="6">
        <v>1.6879211237580889</v>
      </c>
      <c r="P26" s="6">
        <v>1669728.8086820799</v>
      </c>
      <c r="Q26" s="6">
        <v>2619436.7160280198</v>
      </c>
      <c r="R26" s="6">
        <v>2921472.31932873</v>
      </c>
      <c r="S26" s="6">
        <v>5</v>
      </c>
      <c r="T26" s="6">
        <v>4.5</v>
      </c>
      <c r="U26" s="6">
        <v>6.0197122698875596</v>
      </c>
    </row>
    <row r="27" spans="1:21" ht="23.5">
      <c r="A27" s="6">
        <v>2025</v>
      </c>
      <c r="B27" s="6">
        <v>5.58</v>
      </c>
      <c r="C27" s="6">
        <v>4.88</v>
      </c>
      <c r="D27" s="6">
        <v>0.92</v>
      </c>
      <c r="E27" s="6">
        <v>4.46</v>
      </c>
      <c r="F27" s="6"/>
      <c r="G27" s="6">
        <v>590131</v>
      </c>
      <c r="H27" s="6">
        <v>501222</v>
      </c>
      <c r="I27" s="6">
        <v>1091353</v>
      </c>
      <c r="J27" s="6">
        <v>1164806</v>
      </c>
      <c r="K27" s="6">
        <v>172000</v>
      </c>
      <c r="L27" s="6"/>
      <c r="M27" s="6"/>
      <c r="N27" s="6"/>
      <c r="O27" s="6"/>
      <c r="P27" s="6">
        <v>1674285.8389999999</v>
      </c>
      <c r="Q27" s="6">
        <v>2848122.4950000001</v>
      </c>
      <c r="R27" s="6">
        <v>3167777.9720000001</v>
      </c>
      <c r="S27" s="6">
        <v>4.25</v>
      </c>
      <c r="T27" s="6">
        <v>3.75</v>
      </c>
      <c r="U27" s="6">
        <v>5.30578971332565</v>
      </c>
    </row>
    <row r="60" spans="16:16" ht="23.5">
      <c r="P60" s="21">
        <v>2003</v>
      </c>
    </row>
    <row r="61" spans="16:16" ht="23.5">
      <c r="P61" s="22">
        <v>55444.658000000003</v>
      </c>
    </row>
    <row r="62" spans="16:16" ht="23.5">
      <c r="P62" s="22">
        <v>167577.20199999999</v>
      </c>
    </row>
    <row r="63" spans="16:16" ht="23.5">
      <c r="P63" s="22">
        <v>223021.86</v>
      </c>
    </row>
    <row r="64" spans="16:16" ht="23.5">
      <c r="P64" s="22">
        <v>113381.88099999999</v>
      </c>
    </row>
    <row r="65" spans="16:16" ht="23.5">
      <c r="P65" s="22">
        <v>336403.74099999998</v>
      </c>
    </row>
    <row r="66" spans="16:16" ht="23.5">
      <c r="P66" s="22">
        <v>80703.040999999997</v>
      </c>
    </row>
    <row r="67" spans="16:16" ht="23.5">
      <c r="P67" s="23">
        <v>417106.78200000001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5B7A-CA89-4112-BA6E-89CB99B453E6}">
  <dimension ref="A1:E32"/>
  <sheetViews>
    <sheetView tabSelected="1" topLeftCell="A24" workbookViewId="0">
      <selection activeCell="B33" sqref="B33"/>
    </sheetView>
  </sheetViews>
  <sheetFormatPr defaultRowHeight="21"/>
  <cols>
    <col min="1" max="1" width="8.7265625" style="61"/>
    <col min="2" max="2" width="25.7265625" style="61" customWidth="1"/>
    <col min="3" max="3" width="37.81640625" style="61" customWidth="1"/>
    <col min="4" max="4" width="30.26953125" style="61" bestFit="1" customWidth="1"/>
    <col min="5" max="5" width="23.7265625" style="61" customWidth="1"/>
    <col min="6" max="6" width="19.1796875" style="61" bestFit="1" customWidth="1"/>
    <col min="7" max="7" width="11.81640625" style="61" bestFit="1" customWidth="1"/>
    <col min="8" max="16384" width="8.7265625" style="61"/>
  </cols>
  <sheetData>
    <row r="1" spans="1:5" s="66" customFormat="1">
      <c r="A1" s="63" t="s">
        <v>0</v>
      </c>
      <c r="B1" s="63" t="s">
        <v>69</v>
      </c>
      <c r="C1" s="64" t="s">
        <v>71</v>
      </c>
      <c r="D1" s="65" t="s">
        <v>70</v>
      </c>
      <c r="E1" s="65" t="s">
        <v>68</v>
      </c>
    </row>
    <row r="2" spans="1:5">
      <c r="A2" s="61">
        <v>2000</v>
      </c>
      <c r="B2" s="61">
        <v>4.72</v>
      </c>
    </row>
    <row r="3" spans="1:5">
      <c r="A3" s="61">
        <v>2001</v>
      </c>
      <c r="B3" s="61">
        <v>0.34</v>
      </c>
    </row>
    <row r="4" spans="1:5">
      <c r="A4" s="61">
        <v>2002</v>
      </c>
      <c r="B4" s="61">
        <v>-0.69</v>
      </c>
    </row>
    <row r="5" spans="1:5">
      <c r="A5" s="61">
        <v>2003</v>
      </c>
      <c r="B5" s="61">
        <v>8.77</v>
      </c>
    </row>
    <row r="6" spans="1:5">
      <c r="A6" s="61">
        <v>2004</v>
      </c>
      <c r="B6" s="61">
        <v>8.6300000000000008</v>
      </c>
    </row>
    <row r="7" spans="1:5">
      <c r="A7" s="61">
        <v>2005</v>
      </c>
      <c r="B7" s="61">
        <v>5.94</v>
      </c>
    </row>
    <row r="8" spans="1:5">
      <c r="A8" s="61">
        <v>2006</v>
      </c>
      <c r="B8" s="61">
        <v>3.31</v>
      </c>
    </row>
    <row r="9" spans="1:5">
      <c r="A9" s="61">
        <v>2007</v>
      </c>
      <c r="B9" s="61">
        <v>2.21</v>
      </c>
    </row>
    <row r="10" spans="1:5">
      <c r="A10" s="61">
        <v>2008</v>
      </c>
      <c r="B10" s="61">
        <v>6.24</v>
      </c>
    </row>
    <row r="11" spans="1:5">
      <c r="A11" s="61">
        <v>2009</v>
      </c>
      <c r="B11" s="61">
        <v>-1.07</v>
      </c>
    </row>
    <row r="12" spans="1:5">
      <c r="A12" s="61">
        <v>2010</v>
      </c>
      <c r="B12" s="61">
        <v>5.04</v>
      </c>
    </row>
    <row r="13" spans="1:5">
      <c r="A13" s="61">
        <v>2011</v>
      </c>
      <c r="B13" s="61">
        <v>11.76</v>
      </c>
    </row>
    <row r="14" spans="1:5">
      <c r="A14" s="61">
        <v>2012</v>
      </c>
      <c r="B14" s="61">
        <v>5.76</v>
      </c>
    </row>
    <row r="15" spans="1:5">
      <c r="A15" s="61">
        <v>2013</v>
      </c>
      <c r="B15" s="61">
        <v>2.95</v>
      </c>
    </row>
    <row r="16" spans="1:5">
      <c r="A16" s="61">
        <v>2014</v>
      </c>
      <c r="B16" s="61">
        <v>4.0199999999999996</v>
      </c>
    </row>
    <row r="17" spans="1:5">
      <c r="A17" s="61">
        <v>2015</v>
      </c>
      <c r="B17" s="61">
        <v>4.66</v>
      </c>
    </row>
    <row r="18" spans="1:5">
      <c r="A18" s="61">
        <v>2016</v>
      </c>
      <c r="B18" s="61">
        <v>1.7</v>
      </c>
    </row>
    <row r="19" spans="1:5">
      <c r="A19" s="61">
        <v>2017</v>
      </c>
      <c r="B19" s="61">
        <v>1.18</v>
      </c>
    </row>
    <row r="20" spans="1:5">
      <c r="A20" s="61">
        <v>2018</v>
      </c>
      <c r="B20" s="61">
        <v>3.23</v>
      </c>
    </row>
    <row r="21" spans="1:5">
      <c r="A21" s="61">
        <v>2019</v>
      </c>
      <c r="B21" s="61">
        <v>1.65</v>
      </c>
    </row>
    <row r="22" spans="1:5">
      <c r="A22" s="61">
        <v>2020</v>
      </c>
      <c r="B22" s="61">
        <v>-3.8</v>
      </c>
    </row>
    <row r="23" spans="1:5">
      <c r="A23" s="61">
        <v>2021</v>
      </c>
      <c r="B23" s="61">
        <v>6.52</v>
      </c>
    </row>
    <row r="24" spans="1:5">
      <c r="A24" s="61">
        <v>2022</v>
      </c>
      <c r="B24" s="61">
        <v>12</v>
      </c>
    </row>
    <row r="25" spans="1:5">
      <c r="A25" s="61">
        <v>2023</v>
      </c>
      <c r="B25" s="61">
        <v>0.54</v>
      </c>
    </row>
    <row r="26" spans="1:5">
      <c r="A26" s="61">
        <v>2024</v>
      </c>
      <c r="B26" s="61">
        <v>2.65</v>
      </c>
    </row>
    <row r="27" spans="1:5" s="71" customFormat="1">
      <c r="A27" s="71">
        <v>2025</v>
      </c>
      <c r="B27" s="72">
        <v>4.46</v>
      </c>
    </row>
    <row r="28" spans="1:5">
      <c r="A28" s="60">
        <v>2026</v>
      </c>
      <c r="B28" s="60"/>
      <c r="C28" s="60">
        <v>3.43116309415726</v>
      </c>
      <c r="D28" s="62">
        <v>4.5999999999999996</v>
      </c>
      <c r="E28" s="62">
        <v>4.5</v>
      </c>
    </row>
    <row r="29" spans="1:5">
      <c r="A29" s="60">
        <v>2027</v>
      </c>
      <c r="B29" s="60"/>
      <c r="C29" s="60">
        <v>3.3926736414513221</v>
      </c>
      <c r="D29" s="62">
        <v>3.7</v>
      </c>
      <c r="E29" s="62">
        <v>3.6</v>
      </c>
    </row>
    <row r="30" spans="1:5">
      <c r="A30" s="60">
        <v>2028</v>
      </c>
      <c r="B30" s="60"/>
      <c r="C30" s="60">
        <v>3.3541841887453838</v>
      </c>
      <c r="D30" s="62">
        <v>4.5</v>
      </c>
      <c r="E30" s="62">
        <v>3.3</v>
      </c>
    </row>
    <row r="31" spans="1:5">
      <c r="A31" s="60"/>
      <c r="B31" s="60"/>
      <c r="C31" s="60"/>
      <c r="D31" s="62"/>
      <c r="E31" s="62"/>
    </row>
    <row r="32" spans="1:5">
      <c r="A32" s="60"/>
      <c r="B32" s="60"/>
      <c r="C32" s="60"/>
      <c r="D32" s="62"/>
      <c r="E32" s="6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685D-B962-43E5-B911-31E7E2AF804B}">
  <dimension ref="A1:L29"/>
  <sheetViews>
    <sheetView workbookViewId="0">
      <selection activeCell="O9" sqref="O9"/>
    </sheetView>
  </sheetViews>
  <sheetFormatPr defaultRowHeight="14.5"/>
  <sheetData>
    <row r="1" spans="1:12" ht="24.5">
      <c r="A1" s="1">
        <v>1971</v>
      </c>
      <c r="B1" s="1">
        <v>22.24</v>
      </c>
      <c r="C1" s="1">
        <v>8.09</v>
      </c>
      <c r="D1" s="1">
        <v>8.82</v>
      </c>
      <c r="E1" s="1">
        <v>15.23</v>
      </c>
      <c r="F1" s="4">
        <v>33.22</v>
      </c>
      <c r="G1" s="6">
        <v>9685</v>
      </c>
      <c r="H1" s="6">
        <v>1435</v>
      </c>
      <c r="I1" s="6">
        <v>11120</v>
      </c>
      <c r="J1" s="6">
        <v>4756</v>
      </c>
      <c r="K1" s="6">
        <v>3374</v>
      </c>
      <c r="L1" s="6">
        <v>8130</v>
      </c>
    </row>
    <row r="2" spans="1:12" ht="24.5">
      <c r="A2" s="1">
        <v>1972</v>
      </c>
      <c r="B2" s="1">
        <v>24.22</v>
      </c>
      <c r="C2" s="1">
        <v>13.2</v>
      </c>
      <c r="D2" s="1">
        <v>10.98</v>
      </c>
      <c r="E2" s="1">
        <v>18.79</v>
      </c>
      <c r="F2" s="4">
        <v>24.25</v>
      </c>
      <c r="G2" s="6">
        <v>13480</v>
      </c>
      <c r="H2" s="6">
        <v>1888</v>
      </c>
      <c r="I2" s="6">
        <v>15368</v>
      </c>
      <c r="J2" s="6">
        <v>5654</v>
      </c>
      <c r="K2" s="6">
        <v>4504</v>
      </c>
      <c r="L2" s="6">
        <v>10158</v>
      </c>
    </row>
    <row r="3" spans="1:12" ht="24.5">
      <c r="A3" s="1">
        <v>1973</v>
      </c>
      <c r="B3" s="1">
        <v>24.7</v>
      </c>
      <c r="C3" s="1">
        <v>21.07</v>
      </c>
      <c r="D3" s="1">
        <v>14.74</v>
      </c>
      <c r="E3" s="1">
        <v>22.5</v>
      </c>
      <c r="F3" s="4">
        <v>38.32</v>
      </c>
      <c r="G3" s="6">
        <v>39285</v>
      </c>
      <c r="H3" s="6">
        <v>2420</v>
      </c>
      <c r="I3" s="6">
        <v>41705</v>
      </c>
      <c r="J3" s="6">
        <v>8470</v>
      </c>
      <c r="K3" s="6">
        <v>10125</v>
      </c>
      <c r="L3" s="6">
        <v>18595</v>
      </c>
    </row>
    <row r="4" spans="1:12" ht="24.5">
      <c r="A4" s="1">
        <v>1974</v>
      </c>
      <c r="B4" s="1">
        <v>11.19</v>
      </c>
      <c r="C4" s="1">
        <v>41.69</v>
      </c>
      <c r="D4" s="1">
        <v>20.82</v>
      </c>
      <c r="E4" s="1">
        <v>16.100000000000001</v>
      </c>
      <c r="F4" s="4">
        <v>190.98</v>
      </c>
      <c r="G4" s="6">
        <v>94190</v>
      </c>
      <c r="H4" s="6">
        <v>5913</v>
      </c>
      <c r="I4" s="6">
        <v>100103</v>
      </c>
      <c r="J4" s="6">
        <v>15207</v>
      </c>
      <c r="K4" s="6">
        <v>19832</v>
      </c>
      <c r="L4" s="6">
        <v>35039</v>
      </c>
    </row>
    <row r="5" spans="1:12" ht="24.5">
      <c r="A5" s="1">
        <v>1975</v>
      </c>
      <c r="B5" s="1">
        <v>-17.78</v>
      </c>
      <c r="C5" s="1">
        <v>27.46</v>
      </c>
      <c r="D5" s="1">
        <v>20.100000000000001</v>
      </c>
      <c r="E5" s="1">
        <v>-5.49</v>
      </c>
      <c r="F5" s="4">
        <v>2.06</v>
      </c>
      <c r="G5" s="6">
        <v>93481</v>
      </c>
      <c r="H5" s="6">
        <v>9903</v>
      </c>
      <c r="I5" s="6">
        <v>103384</v>
      </c>
      <c r="J5" s="6">
        <v>37931</v>
      </c>
      <c r="K5" s="6">
        <v>43304</v>
      </c>
      <c r="L5" s="6">
        <v>81235</v>
      </c>
    </row>
    <row r="6" spans="1:12" ht="24.5">
      <c r="A6" s="1">
        <v>1976</v>
      </c>
      <c r="B6" s="1">
        <v>24.13</v>
      </c>
      <c r="C6" s="1">
        <v>4.3899999999999997</v>
      </c>
      <c r="D6" s="1">
        <v>2.42</v>
      </c>
      <c r="E6" s="1">
        <v>15.22</v>
      </c>
      <c r="F6" s="4">
        <v>37.32</v>
      </c>
      <c r="G6" s="6">
        <v>121191</v>
      </c>
      <c r="H6" s="6">
        <v>14766</v>
      </c>
      <c r="I6" s="6">
        <v>135957</v>
      </c>
      <c r="J6" s="6">
        <v>73621</v>
      </c>
      <c r="K6" s="6">
        <v>54652</v>
      </c>
      <c r="L6" s="6">
        <v>128273</v>
      </c>
    </row>
    <row r="7" spans="1:12" ht="24.5">
      <c r="A7" s="1">
        <v>1977</v>
      </c>
      <c r="B7" s="1">
        <v>6.94</v>
      </c>
      <c r="C7" s="1">
        <v>3.49</v>
      </c>
      <c r="D7" s="1">
        <v>11.22</v>
      </c>
      <c r="E7" s="1">
        <v>5.89</v>
      </c>
      <c r="F7" s="4">
        <v>15.75</v>
      </c>
      <c r="G7" s="6">
        <v>114042</v>
      </c>
      <c r="H7" s="6">
        <v>16617</v>
      </c>
      <c r="I7" s="6">
        <v>130659</v>
      </c>
      <c r="J7" s="6">
        <v>71417</v>
      </c>
      <c r="K7" s="6">
        <v>66631</v>
      </c>
      <c r="L7" s="6">
        <v>138048</v>
      </c>
    </row>
    <row r="8" spans="1:12" ht="24.5">
      <c r="A8" s="1">
        <v>1978</v>
      </c>
      <c r="B8" s="1">
        <v>-8.8800000000000008</v>
      </c>
      <c r="C8" s="1">
        <v>11.88</v>
      </c>
      <c r="D8" s="1">
        <v>-1.29</v>
      </c>
      <c r="E8" s="1">
        <v>0.17</v>
      </c>
      <c r="F8" s="4">
        <v>4.34</v>
      </c>
      <c r="G8" s="6">
        <v>115078</v>
      </c>
      <c r="H8" s="6">
        <v>16427</v>
      </c>
      <c r="I8" s="6">
        <v>131505</v>
      </c>
      <c r="J8" s="6">
        <v>83488</v>
      </c>
      <c r="K8" s="6">
        <v>64484</v>
      </c>
      <c r="L8" s="6">
        <v>147972</v>
      </c>
    </row>
    <row r="9" spans="1:12" ht="24.5">
      <c r="A9" s="1">
        <v>1979</v>
      </c>
      <c r="B9" s="1">
        <v>14.51</v>
      </c>
      <c r="C9" s="1">
        <v>9.66</v>
      </c>
      <c r="D9" s="1">
        <v>-3.39</v>
      </c>
      <c r="E9" s="1">
        <v>10.96</v>
      </c>
      <c r="F9" s="4">
        <v>37.770000000000003</v>
      </c>
      <c r="G9" s="6">
        <v>189295</v>
      </c>
      <c r="H9" s="6">
        <v>21901</v>
      </c>
      <c r="I9" s="6">
        <v>211196</v>
      </c>
      <c r="J9" s="6">
        <v>102447</v>
      </c>
      <c r="K9" s="6">
        <v>83277</v>
      </c>
      <c r="L9" s="6">
        <v>185724</v>
      </c>
    </row>
    <row r="10" spans="1:12" ht="24.5">
      <c r="A10" s="1">
        <v>1980</v>
      </c>
      <c r="B10" s="1">
        <v>4.46</v>
      </c>
      <c r="C10" s="1">
        <v>7.95</v>
      </c>
      <c r="D10" s="1">
        <v>8.81</v>
      </c>
      <c r="E10" s="1">
        <v>5.8</v>
      </c>
      <c r="F10" s="4">
        <v>45.6</v>
      </c>
      <c r="G10" s="6">
        <v>319305</v>
      </c>
      <c r="H10" s="6">
        <v>28795</v>
      </c>
      <c r="I10" s="6">
        <v>348100</v>
      </c>
      <c r="J10" s="6">
        <v>132661</v>
      </c>
      <c r="K10" s="6">
        <v>104094</v>
      </c>
      <c r="L10" s="6">
        <v>236755</v>
      </c>
    </row>
    <row r="11" spans="1:12" ht="24.5">
      <c r="A11" s="1">
        <v>1981</v>
      </c>
      <c r="B11" s="1">
        <v>-0.97</v>
      </c>
      <c r="C11" s="1">
        <v>10.45</v>
      </c>
      <c r="D11" s="1">
        <v>6.36</v>
      </c>
      <c r="E11" s="1">
        <v>2.98</v>
      </c>
      <c r="F11" s="4">
        <v>13.88</v>
      </c>
      <c r="G11" s="6">
        <v>328594</v>
      </c>
      <c r="H11" s="6">
        <v>39412</v>
      </c>
      <c r="I11" s="6">
        <v>368006</v>
      </c>
      <c r="J11" s="6">
        <v>113636</v>
      </c>
      <c r="K11" s="6">
        <v>171014</v>
      </c>
      <c r="L11" s="6">
        <v>284650</v>
      </c>
    </row>
    <row r="12" spans="1:12" ht="24.5">
      <c r="A12" s="1">
        <v>1982</v>
      </c>
      <c r="B12" s="1">
        <v>-32.21</v>
      </c>
      <c r="C12" s="1">
        <v>5.98</v>
      </c>
      <c r="D12" s="1">
        <v>7.33</v>
      </c>
      <c r="E12" s="1">
        <v>-16.11</v>
      </c>
      <c r="F12" s="4">
        <v>-15.73</v>
      </c>
      <c r="G12" s="6">
        <v>186006</v>
      </c>
      <c r="H12" s="6">
        <v>60176</v>
      </c>
      <c r="I12" s="6">
        <v>246182</v>
      </c>
      <c r="J12" s="6">
        <v>102248</v>
      </c>
      <c r="K12" s="6">
        <v>142664</v>
      </c>
      <c r="L12" s="6">
        <v>244912</v>
      </c>
    </row>
    <row r="13" spans="1:12" ht="24.5">
      <c r="A13" s="1">
        <v>1983</v>
      </c>
      <c r="B13" s="1">
        <v>-27.91</v>
      </c>
      <c r="C13" s="1">
        <v>0.47</v>
      </c>
      <c r="D13" s="1">
        <v>6.67</v>
      </c>
      <c r="E13" s="1">
        <v>-10.99</v>
      </c>
      <c r="F13" s="4">
        <v>-15.05</v>
      </c>
      <c r="G13" s="6">
        <v>145123</v>
      </c>
      <c r="H13" s="6">
        <v>61296</v>
      </c>
      <c r="I13" s="6">
        <v>206419</v>
      </c>
      <c r="J13" s="6">
        <v>124052</v>
      </c>
      <c r="K13" s="6">
        <v>106134</v>
      </c>
      <c r="L13" s="6">
        <v>230186</v>
      </c>
    </row>
    <row r="14" spans="1:12" ht="24.5">
      <c r="A14" s="1">
        <v>1984</v>
      </c>
      <c r="B14" s="1">
        <v>-8.02</v>
      </c>
      <c r="C14" s="1">
        <v>-4.2699999999999996</v>
      </c>
      <c r="D14" s="1">
        <v>6.44</v>
      </c>
      <c r="E14" s="1">
        <v>-4.01</v>
      </c>
      <c r="F14" s="4">
        <v>-5.54</v>
      </c>
      <c r="G14" s="6">
        <v>121348</v>
      </c>
      <c r="H14" s="6">
        <v>50161</v>
      </c>
      <c r="I14" s="6">
        <v>171509</v>
      </c>
      <c r="J14" s="6">
        <v>121696</v>
      </c>
      <c r="K14" s="6">
        <v>94667</v>
      </c>
      <c r="L14" s="6">
        <v>216363</v>
      </c>
    </row>
    <row r="15" spans="1:12" ht="24.5">
      <c r="A15" s="1">
        <v>1985</v>
      </c>
      <c r="B15" s="1">
        <v>-19.09</v>
      </c>
      <c r="C15" s="1">
        <v>-4.3499999999999996</v>
      </c>
      <c r="D15" s="1">
        <v>5.69</v>
      </c>
      <c r="E15" s="1">
        <v>-7.21</v>
      </c>
      <c r="F15" s="4">
        <v>-10.73</v>
      </c>
      <c r="G15" s="6">
        <v>88425</v>
      </c>
      <c r="H15" s="6">
        <v>45140</v>
      </c>
      <c r="I15" s="6">
        <v>133565</v>
      </c>
      <c r="J15" s="6">
        <v>119865</v>
      </c>
      <c r="K15" s="6">
        <v>64139</v>
      </c>
      <c r="L15" s="6">
        <v>184004</v>
      </c>
    </row>
    <row r="16" spans="1:12" ht="24.5">
      <c r="A16" s="1">
        <v>1986</v>
      </c>
      <c r="B16" s="1">
        <v>45.17</v>
      </c>
      <c r="C16" s="1">
        <v>-8.35</v>
      </c>
      <c r="D16" s="1">
        <v>0.27</v>
      </c>
      <c r="E16" s="1">
        <v>1.01</v>
      </c>
      <c r="F16" s="4">
        <v>-14.43</v>
      </c>
      <c r="G16" s="6">
        <v>42464</v>
      </c>
      <c r="H16" s="6">
        <v>34034</v>
      </c>
      <c r="I16" s="6">
        <v>76498</v>
      </c>
      <c r="J16" s="6">
        <v>98894</v>
      </c>
      <c r="K16" s="6">
        <v>38528</v>
      </c>
      <c r="L16" s="6">
        <v>137422</v>
      </c>
    </row>
    <row r="17" spans="1:12" ht="24.5">
      <c r="A17" s="1">
        <v>1987</v>
      </c>
      <c r="B17" s="1">
        <v>-11.33</v>
      </c>
      <c r="C17" s="1">
        <v>-0.56000000000000005</v>
      </c>
      <c r="D17" s="1">
        <v>-0.46</v>
      </c>
      <c r="E17" s="1">
        <v>-3.13</v>
      </c>
      <c r="F17" s="4">
        <v>-0.34</v>
      </c>
      <c r="G17" s="6">
        <v>67405</v>
      </c>
      <c r="H17" s="6">
        <v>36406</v>
      </c>
      <c r="I17" s="6">
        <v>103811</v>
      </c>
      <c r="J17" s="6">
        <v>134419</v>
      </c>
      <c r="K17" s="6">
        <v>50500</v>
      </c>
      <c r="L17" s="6">
        <v>184919</v>
      </c>
    </row>
    <row r="18" spans="1:12" ht="24.5">
      <c r="A18" s="1">
        <v>1988</v>
      </c>
      <c r="B18" s="1">
        <v>21.51</v>
      </c>
      <c r="C18" s="1">
        <v>1.59</v>
      </c>
      <c r="D18" s="1">
        <v>0.31</v>
      </c>
      <c r="E18" s="1">
        <v>6.6</v>
      </c>
      <c r="F18" s="4">
        <v>2.99</v>
      </c>
      <c r="G18" s="6">
        <v>48400</v>
      </c>
      <c r="H18" s="6">
        <v>36200</v>
      </c>
      <c r="I18" s="6">
        <v>84600</v>
      </c>
      <c r="J18" s="6">
        <v>116283</v>
      </c>
      <c r="K18" s="6">
        <v>24573</v>
      </c>
      <c r="L18" s="6">
        <v>140856</v>
      </c>
    </row>
    <row r="19" spans="1:12" ht="24.5">
      <c r="A19" s="1">
        <v>1989</v>
      </c>
      <c r="B19" s="1">
        <v>-2.0099999999999998</v>
      </c>
      <c r="C19" s="1">
        <v>1.7</v>
      </c>
      <c r="D19" s="1">
        <v>2.66</v>
      </c>
      <c r="E19" s="1">
        <v>0.42</v>
      </c>
      <c r="F19" s="4">
        <v>8.0299999999999994</v>
      </c>
      <c r="G19" s="6">
        <v>75900</v>
      </c>
      <c r="H19" s="6">
        <v>38700</v>
      </c>
      <c r="I19" s="6">
        <v>114600</v>
      </c>
      <c r="J19" s="6">
        <v>118303</v>
      </c>
      <c r="K19" s="6">
        <v>36567</v>
      </c>
      <c r="L19" s="6">
        <v>154870</v>
      </c>
    </row>
    <row r="20" spans="1:12" ht="24.5">
      <c r="A20" s="1">
        <v>1990</v>
      </c>
      <c r="B20" s="1">
        <v>25.48</v>
      </c>
      <c r="C20" s="1">
        <v>1.93</v>
      </c>
      <c r="D20" s="1">
        <v>3.82</v>
      </c>
      <c r="E20" s="1">
        <v>9.43</v>
      </c>
      <c r="F20" s="4">
        <v>23.37</v>
      </c>
      <c r="G20" s="6" t="s">
        <v>6</v>
      </c>
      <c r="H20" s="6" t="s">
        <v>6</v>
      </c>
      <c r="I20" s="6" t="s">
        <v>6</v>
      </c>
      <c r="J20" s="6" t="s">
        <v>6</v>
      </c>
      <c r="K20" s="6" t="s">
        <v>6</v>
      </c>
      <c r="L20" s="6" t="s">
        <v>6</v>
      </c>
    </row>
    <row r="21" spans="1:12" ht="24.5">
      <c r="A21" s="1">
        <v>1991</v>
      </c>
      <c r="B21" s="1">
        <v>21.73</v>
      </c>
      <c r="C21" s="1">
        <v>2.31</v>
      </c>
      <c r="D21" s="1">
        <v>2.59</v>
      </c>
      <c r="E21" s="1">
        <v>8.2200000000000006</v>
      </c>
      <c r="F21" s="4">
        <v>12.41</v>
      </c>
      <c r="G21" s="6">
        <v>246297</v>
      </c>
      <c r="H21" s="6">
        <v>70342</v>
      </c>
      <c r="I21" s="6">
        <v>316639</v>
      </c>
      <c r="J21" s="6">
        <v>377205</v>
      </c>
      <c r="K21" s="6">
        <v>110220</v>
      </c>
      <c r="L21" s="6">
        <v>487425</v>
      </c>
    </row>
    <row r="22" spans="1:12" ht="24.5">
      <c r="A22" s="1">
        <v>1992</v>
      </c>
      <c r="B22" s="1">
        <v>3.19</v>
      </c>
      <c r="C22" s="1">
        <v>4.32</v>
      </c>
      <c r="D22" s="1">
        <v>5.78</v>
      </c>
      <c r="E22" s="1">
        <v>4.58</v>
      </c>
      <c r="F22" s="4">
        <v>3.68</v>
      </c>
      <c r="G22" s="6">
        <v>128790</v>
      </c>
      <c r="H22" s="6">
        <v>40857</v>
      </c>
      <c r="I22" s="6">
        <v>169647</v>
      </c>
      <c r="J22" s="6">
        <v>162350</v>
      </c>
      <c r="K22" s="6">
        <v>76637</v>
      </c>
      <c r="L22" s="6">
        <v>238987</v>
      </c>
    </row>
    <row r="23" spans="1:12" ht="24.5">
      <c r="A23" s="1">
        <v>1993</v>
      </c>
      <c r="B23" s="1">
        <v>-3.02</v>
      </c>
      <c r="C23" s="1">
        <v>2.4500000000000002</v>
      </c>
      <c r="D23" s="1">
        <v>1.56</v>
      </c>
      <c r="E23" s="1">
        <v>0.38</v>
      </c>
      <c r="F23" s="4">
        <v>-3.01</v>
      </c>
      <c r="G23" s="6">
        <v>105976</v>
      </c>
      <c r="H23" s="6">
        <v>35469</v>
      </c>
      <c r="I23" s="6">
        <v>141445</v>
      </c>
      <c r="J23" s="6">
        <v>157770</v>
      </c>
      <c r="K23" s="6">
        <v>30120</v>
      </c>
      <c r="L23" s="6">
        <v>187890</v>
      </c>
    </row>
    <row r="24" spans="1:12" ht="24.5">
      <c r="A24" s="1">
        <v>1994</v>
      </c>
      <c r="B24" s="1">
        <v>0.31</v>
      </c>
      <c r="C24" s="1">
        <v>1.97</v>
      </c>
      <c r="D24" s="1">
        <v>0.77</v>
      </c>
      <c r="E24" s="1">
        <v>0.95</v>
      </c>
      <c r="F24" s="4">
        <v>1.66</v>
      </c>
      <c r="G24" s="6">
        <v>95505</v>
      </c>
      <c r="H24" s="6">
        <v>33486</v>
      </c>
      <c r="I24" s="6">
        <v>128991</v>
      </c>
      <c r="J24" s="6">
        <v>139807</v>
      </c>
      <c r="K24" s="6">
        <v>23969</v>
      </c>
      <c r="L24" s="6">
        <v>163776</v>
      </c>
    </row>
    <row r="25" spans="1:12" ht="24.5">
      <c r="A25" s="1">
        <v>1995</v>
      </c>
      <c r="B25" s="1">
        <v>-0.41</v>
      </c>
      <c r="C25" s="1">
        <v>0.39</v>
      </c>
      <c r="D25" s="1">
        <v>2.5499999999999998</v>
      </c>
      <c r="E25" s="1">
        <v>0.31</v>
      </c>
      <c r="F25" s="4">
        <v>6.04</v>
      </c>
      <c r="G25" s="6">
        <v>105728</v>
      </c>
      <c r="H25" s="6">
        <v>40772</v>
      </c>
      <c r="I25" s="6">
        <v>146500</v>
      </c>
      <c r="J25" s="6">
        <v>148776</v>
      </c>
      <c r="K25" s="6">
        <v>25167</v>
      </c>
      <c r="L25" s="6">
        <v>173943</v>
      </c>
    </row>
    <row r="26" spans="1:12" ht="24.5">
      <c r="A26" s="1">
        <v>1996</v>
      </c>
      <c r="B26" s="1">
        <v>2.15</v>
      </c>
      <c r="C26" s="1">
        <v>4.75</v>
      </c>
      <c r="D26" s="1">
        <v>1.2</v>
      </c>
      <c r="E26" s="1">
        <v>3.3</v>
      </c>
      <c r="F26" s="4">
        <v>10.69</v>
      </c>
      <c r="G26" s="6">
        <v>135982</v>
      </c>
      <c r="H26" s="6">
        <v>43103</v>
      </c>
      <c r="I26" s="6">
        <v>179085</v>
      </c>
      <c r="J26" s="6">
        <v>171258</v>
      </c>
      <c r="K26" s="6">
        <v>26859</v>
      </c>
      <c r="L26" s="6">
        <v>198117</v>
      </c>
    </row>
    <row r="27" spans="1:12" ht="24.5">
      <c r="A27" s="1">
        <v>1997</v>
      </c>
      <c r="B27" s="1">
        <v>-1.37</v>
      </c>
      <c r="C27" s="1">
        <v>4.49</v>
      </c>
      <c r="D27" s="1">
        <v>6.55</v>
      </c>
      <c r="E27" s="1">
        <v>2.65</v>
      </c>
      <c r="F27" s="4">
        <v>4.5999999999999996</v>
      </c>
      <c r="G27" s="6">
        <v>159985</v>
      </c>
      <c r="H27" s="6">
        <v>45515</v>
      </c>
      <c r="I27" s="6">
        <v>205500</v>
      </c>
      <c r="J27" s="6">
        <v>187352</v>
      </c>
      <c r="K27" s="6">
        <v>33920</v>
      </c>
      <c r="L27" s="6">
        <v>221272</v>
      </c>
    </row>
    <row r="28" spans="1:12" ht="24.5">
      <c r="A28" s="1">
        <v>1998</v>
      </c>
      <c r="B28" s="1">
        <v>2.93</v>
      </c>
      <c r="C28" s="1">
        <v>2.87</v>
      </c>
      <c r="D28" s="1">
        <v>1.79</v>
      </c>
      <c r="E28" s="1">
        <v>2.8</v>
      </c>
      <c r="F28" s="4">
        <v>-11.44</v>
      </c>
      <c r="G28" s="6">
        <v>79998</v>
      </c>
      <c r="H28" s="6">
        <v>61610</v>
      </c>
      <c r="I28" s="6">
        <v>141608</v>
      </c>
      <c r="J28" s="6">
        <v>171163</v>
      </c>
      <c r="K28" s="6">
        <v>18897</v>
      </c>
      <c r="L28" s="6">
        <v>190060</v>
      </c>
    </row>
    <row r="29" spans="1:12" ht="24.5">
      <c r="A29" s="1">
        <v>1999</v>
      </c>
      <c r="B29" s="1">
        <v>-7.77</v>
      </c>
      <c r="C29" s="1">
        <v>4.12</v>
      </c>
      <c r="D29" s="1">
        <v>0.92</v>
      </c>
      <c r="E29" s="1">
        <v>-0.63</v>
      </c>
      <c r="F29" s="4">
        <v>10.18</v>
      </c>
      <c r="G29" s="6">
        <v>104447</v>
      </c>
      <c r="H29" s="6">
        <v>43007</v>
      </c>
      <c r="I29" s="6">
        <v>147454</v>
      </c>
      <c r="J29" s="6">
        <v>167195</v>
      </c>
      <c r="K29" s="6">
        <v>16646</v>
      </c>
      <c r="L29" s="6">
        <v>183841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A4E0-F5ED-4029-9FC4-47A9F88B46C1}">
  <dimension ref="A1:J46"/>
  <sheetViews>
    <sheetView workbookViewId="0">
      <selection activeCell="A5" sqref="A5:E6"/>
    </sheetView>
  </sheetViews>
  <sheetFormatPr defaultRowHeight="14.5"/>
  <cols>
    <col min="2" max="2" width="15.90625" bestFit="1" customWidth="1"/>
    <col min="4" max="4" width="15.08984375" bestFit="1" customWidth="1"/>
  </cols>
  <sheetData>
    <row r="1" spans="1:10" ht="24.5">
      <c r="A1" s="33">
        <v>2025</v>
      </c>
      <c r="B1" s="33">
        <v>4.46</v>
      </c>
      <c r="C1" s="38">
        <v>7.5</v>
      </c>
      <c r="D1" s="41">
        <v>3167777.9720000001</v>
      </c>
      <c r="E1" s="38"/>
      <c r="F1" s="38"/>
      <c r="G1" s="38"/>
      <c r="H1" s="43">
        <v>2.0356209523773101</v>
      </c>
      <c r="I1">
        <f>H1-H2</f>
        <v>0.23562095237731007</v>
      </c>
      <c r="J1">
        <f>I1/H2</f>
        <v>0.13090052909850558</v>
      </c>
    </row>
    <row r="2" spans="1:10" ht="24.5">
      <c r="A2" s="33">
        <v>2026</v>
      </c>
      <c r="H2" s="42">
        <v>1.8</v>
      </c>
    </row>
    <row r="4" spans="1:10">
      <c r="A4" t="s">
        <v>72</v>
      </c>
    </row>
    <row r="5" spans="1:10" ht="21">
      <c r="A5" s="77">
        <v>2029</v>
      </c>
      <c r="B5" s="78"/>
      <c r="C5" s="78">
        <v>3.315694736039446</v>
      </c>
      <c r="D5" s="67"/>
      <c r="E5" s="68">
        <v>3.3</v>
      </c>
    </row>
    <row r="6" spans="1:10" ht="21">
      <c r="A6" s="79">
        <v>2030</v>
      </c>
      <c r="B6" s="80"/>
      <c r="C6" s="80">
        <v>3.2772052833335081</v>
      </c>
      <c r="D6" s="69"/>
      <c r="E6" s="70">
        <v>3.3</v>
      </c>
    </row>
    <row r="10" spans="1:10">
      <c r="B10" t="s">
        <v>27</v>
      </c>
    </row>
    <row r="11" spans="1:10" ht="23.5">
      <c r="A11" s="6">
        <v>1964</v>
      </c>
      <c r="B11" s="6">
        <v>2.7999999989998301</v>
      </c>
    </row>
    <row r="12" spans="1:10" ht="23.5">
      <c r="A12" s="6">
        <v>1965</v>
      </c>
      <c r="B12" s="6">
        <v>0.38910505934228562</v>
      </c>
    </row>
    <row r="13" spans="1:10" ht="23.5">
      <c r="A13" s="6">
        <v>1966</v>
      </c>
      <c r="B13" s="6">
        <v>1.5503875959304201</v>
      </c>
    </row>
    <row r="14" spans="1:10" ht="23.5">
      <c r="A14" s="6">
        <v>1967</v>
      </c>
      <c r="B14" s="6">
        <v>2.0992366421952098</v>
      </c>
    </row>
    <row r="15" spans="1:10" ht="23.5">
      <c r="A15" s="6">
        <v>1968</v>
      </c>
      <c r="B15" s="6">
        <v>1.588785046729384</v>
      </c>
    </row>
    <row r="16" spans="1:10" ht="23.5">
      <c r="A16" s="6">
        <v>1969</v>
      </c>
      <c r="B16" s="6">
        <v>3.495860165593264</v>
      </c>
    </row>
    <row r="17" spans="1:2" ht="23.5">
      <c r="A17" s="6">
        <v>1970</v>
      </c>
      <c r="B17" s="6">
        <v>0.177777777777784</v>
      </c>
    </row>
    <row r="18" spans="1:2" ht="23.5">
      <c r="A18" s="6">
        <v>1971</v>
      </c>
      <c r="B18" s="6">
        <v>4.4749999997499748</v>
      </c>
    </row>
    <row r="19" spans="1:2" ht="23.5">
      <c r="A19" s="6">
        <v>1972</v>
      </c>
      <c r="B19" s="6">
        <v>4.331179707834969</v>
      </c>
    </row>
    <row r="20" spans="1:2" ht="23.5">
      <c r="A20" s="6">
        <v>1973</v>
      </c>
      <c r="B20" s="6">
        <v>16.513761468195352</v>
      </c>
    </row>
    <row r="21" spans="1:2" ht="23.5">
      <c r="A21" s="6">
        <v>1974</v>
      </c>
      <c r="B21" s="6">
        <v>21.437007873664079</v>
      </c>
    </row>
    <row r="22" spans="1:2" ht="23.5">
      <c r="A22" s="6">
        <v>1975</v>
      </c>
      <c r="B22" s="6">
        <v>34.57610633814847</v>
      </c>
    </row>
    <row r="23" spans="1:2" ht="23.5">
      <c r="A23" s="6">
        <v>1976</v>
      </c>
      <c r="B23" s="6">
        <v>31.558660564112522</v>
      </c>
    </row>
    <row r="24" spans="1:2" ht="23.5">
      <c r="A24" s="6">
        <v>1977</v>
      </c>
      <c r="B24" s="6">
        <v>11.39901116995318</v>
      </c>
    </row>
    <row r="25" spans="1:2" ht="23.5">
      <c r="A25" s="6">
        <v>1978</v>
      </c>
      <c r="B25" s="6">
        <v>-1.5836018502208591</v>
      </c>
    </row>
    <row r="26" spans="1:2" ht="23.5">
      <c r="A26" s="6">
        <v>1979</v>
      </c>
      <c r="B26" s="6">
        <v>1.081566902883373</v>
      </c>
    </row>
    <row r="27" spans="1:2" ht="23.5">
      <c r="A27" s="6">
        <v>1980</v>
      </c>
      <c r="B27" s="6">
        <v>4.1692665536328892</v>
      </c>
    </row>
    <row r="28" spans="1:2" ht="23.5">
      <c r="A28" s="6">
        <v>1981</v>
      </c>
      <c r="B28" s="6">
        <v>2.7989821882948762</v>
      </c>
    </row>
    <row r="29" spans="1:2" ht="23.5">
      <c r="A29" s="6">
        <v>1982</v>
      </c>
      <c r="B29" s="6">
        <v>1.021039603960352</v>
      </c>
    </row>
    <row r="30" spans="1:2" ht="23.5">
      <c r="A30" s="6">
        <v>1983</v>
      </c>
      <c r="B30" s="6">
        <v>0.1914241960190636</v>
      </c>
    </row>
    <row r="31" spans="1:2" ht="23.5">
      <c r="A31" s="6">
        <v>1984</v>
      </c>
      <c r="B31" s="6">
        <v>-1.5590370653420449</v>
      </c>
    </row>
    <row r="32" spans="1:2" ht="23.5">
      <c r="A32" s="6">
        <v>1985</v>
      </c>
      <c r="B32" s="6">
        <v>-3.058768729136589</v>
      </c>
    </row>
    <row r="33" spans="1:5" ht="23.5">
      <c r="A33" s="6">
        <v>1986</v>
      </c>
      <c r="B33" s="6">
        <v>-3.2033314647229951</v>
      </c>
    </row>
    <row r="34" spans="1:5" ht="23.5">
      <c r="A34" s="6">
        <v>1987</v>
      </c>
      <c r="B34" s="6">
        <v>-1.5471167369901999</v>
      </c>
    </row>
    <row r="35" spans="1:5" ht="23.5">
      <c r="A35" s="6">
        <v>1988</v>
      </c>
      <c r="B35" s="6">
        <v>0.9075630252105078</v>
      </c>
      <c r="C35" s="20">
        <v>93664.2</v>
      </c>
      <c r="D35" s="22">
        <v>134142.79999999999</v>
      </c>
      <c r="E35" s="23">
        <v>178417.8</v>
      </c>
    </row>
    <row r="36" spans="1:5" ht="23.5">
      <c r="A36" s="6">
        <v>1989</v>
      </c>
      <c r="B36" s="6">
        <v>1.0326449033973939</v>
      </c>
      <c r="C36" s="20">
        <v>91751.7</v>
      </c>
      <c r="D36" s="22">
        <v>136413.70000000001</v>
      </c>
      <c r="E36" s="23">
        <v>180180.8</v>
      </c>
    </row>
    <row r="37" spans="1:5" ht="23.5">
      <c r="A37" s="6">
        <v>1990</v>
      </c>
      <c r="B37" s="6">
        <v>2.0771513353115951</v>
      </c>
      <c r="C37" s="20">
        <v>102264.616538</v>
      </c>
      <c r="D37" s="22">
        <v>141545.49127599999</v>
      </c>
      <c r="E37" s="23">
        <v>188438.408329</v>
      </c>
    </row>
    <row r="38" spans="1:5" ht="23.5">
      <c r="A38" s="6">
        <v>1991</v>
      </c>
      <c r="B38" s="6">
        <v>4.8611111111113452</v>
      </c>
      <c r="C38" s="20">
        <v>120470.45183200001</v>
      </c>
      <c r="D38" s="22">
        <v>165093.47017399999</v>
      </c>
      <c r="E38" s="23">
        <v>215842.81613200001</v>
      </c>
    </row>
    <row r="39" spans="1:5" ht="23.5">
      <c r="A39" s="6">
        <v>1992</v>
      </c>
      <c r="B39" s="6">
        <v>-7.7006006469078403E-2</v>
      </c>
      <c r="C39" s="20">
        <v>125463.5</v>
      </c>
      <c r="D39" s="22">
        <v>171796.4</v>
      </c>
      <c r="E39" s="23">
        <v>223005.18299999999</v>
      </c>
    </row>
    <row r="40" spans="1:5" ht="23.5">
      <c r="A40" s="6">
        <v>1993</v>
      </c>
      <c r="B40" s="6">
        <v>1.055795314426953</v>
      </c>
      <c r="C40" s="20">
        <v>121502.75661700001</v>
      </c>
      <c r="D40" s="22">
        <v>169395.09561700001</v>
      </c>
      <c r="E40" s="23">
        <v>228422.75561699999</v>
      </c>
    </row>
    <row r="41" spans="1:5" ht="23.5">
      <c r="A41" s="6">
        <v>1994</v>
      </c>
      <c r="B41" s="6">
        <v>0.56432547853313519</v>
      </c>
      <c r="C41" s="20">
        <v>125644.435411</v>
      </c>
      <c r="D41" s="22">
        <v>177061.55541100001</v>
      </c>
      <c r="E41" s="23">
        <v>236230.925411</v>
      </c>
    </row>
    <row r="42" spans="1:5" ht="23.5">
      <c r="A42" s="6">
        <v>1995</v>
      </c>
      <c r="B42" s="6">
        <v>4.8684310305602798</v>
      </c>
      <c r="C42" s="20">
        <v>124471.136</v>
      </c>
      <c r="D42" s="22">
        <v>185693.65900000001</v>
      </c>
      <c r="E42" s="23">
        <v>241768.91</v>
      </c>
    </row>
    <row r="43" spans="1:5" ht="23.5">
      <c r="A43" s="6">
        <v>1996</v>
      </c>
      <c r="B43" s="6">
        <v>1.2220605487776901</v>
      </c>
      <c r="C43" s="20">
        <v>132927.856</v>
      </c>
      <c r="D43" s="22">
        <v>204008.60699999999</v>
      </c>
      <c r="E43" s="23">
        <v>258322.56</v>
      </c>
    </row>
    <row r="44" spans="1:5" ht="23.5">
      <c r="A44" s="6">
        <v>1997</v>
      </c>
      <c r="B44" s="6">
        <v>5.7150605062610861E-2</v>
      </c>
      <c r="C44" s="20">
        <v>141183.74799999999</v>
      </c>
      <c r="D44" s="22">
        <v>218349.28599999999</v>
      </c>
      <c r="E44" s="23">
        <v>272548.80900000001</v>
      </c>
    </row>
    <row r="45" spans="1:5" ht="23.5">
      <c r="A45" s="6">
        <v>1998</v>
      </c>
      <c r="B45" s="6">
        <v>-0.37126675171205331</v>
      </c>
      <c r="C45" s="20">
        <v>140272.31700000001</v>
      </c>
      <c r="D45" s="22">
        <v>223708.41500000001</v>
      </c>
      <c r="E45" s="23">
        <v>283256.33100000001</v>
      </c>
    </row>
    <row r="46" spans="1:5" ht="23.5">
      <c r="A46" s="6">
        <v>1999</v>
      </c>
      <c r="B46" s="6">
        <v>-1.333754896538998</v>
      </c>
      <c r="C46" s="20">
        <v>156665.18</v>
      </c>
      <c r="D46" s="22">
        <v>242006.595</v>
      </c>
      <c r="E46" s="23">
        <v>305445.91200000001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CB44-AA1D-42E6-9D1A-F0F71691DEC9}">
  <dimension ref="A1:B23"/>
  <sheetViews>
    <sheetView topLeftCell="A7" workbookViewId="0">
      <selection activeCell="F10" sqref="F10"/>
    </sheetView>
  </sheetViews>
  <sheetFormatPr defaultRowHeight="14.5"/>
  <cols>
    <col min="1" max="1" width="65.36328125" bestFit="1" customWidth="1"/>
    <col min="2" max="2" width="10.6328125" bestFit="1" customWidth="1"/>
  </cols>
  <sheetData>
    <row r="1" spans="1:2">
      <c r="A1" s="50" t="s">
        <v>35</v>
      </c>
      <c r="B1" s="45">
        <v>2024</v>
      </c>
    </row>
    <row r="2" spans="1:2">
      <c r="A2" s="51" t="s">
        <v>36</v>
      </c>
      <c r="B2" s="46">
        <v>27885.532768000001</v>
      </c>
    </row>
    <row r="3" spans="1:2">
      <c r="A3" s="52" t="s">
        <v>37</v>
      </c>
      <c r="B3" s="47">
        <v>40773.353500999998</v>
      </c>
    </row>
    <row r="4" spans="1:2">
      <c r="A4" s="51" t="s">
        <v>38</v>
      </c>
      <c r="B4" s="46">
        <v>5894.4743669999998</v>
      </c>
    </row>
    <row r="5" spans="1:2">
      <c r="A5" s="52" t="s">
        <v>39</v>
      </c>
      <c r="B5" s="47">
        <v>39813.891297000002</v>
      </c>
    </row>
    <row r="6" spans="1:2">
      <c r="A6" s="51" t="s">
        <v>40</v>
      </c>
      <c r="B6" s="46">
        <v>53220.259484000002</v>
      </c>
    </row>
    <row r="7" spans="1:2">
      <c r="A7" s="52" t="s">
        <v>41</v>
      </c>
      <c r="B7" s="47">
        <v>78629.796839000002</v>
      </c>
    </row>
    <row r="8" spans="1:2">
      <c r="A8" s="51" t="s">
        <v>42</v>
      </c>
      <c r="B8" s="46">
        <v>29266.969224</v>
      </c>
    </row>
    <row r="9" spans="1:2">
      <c r="A9" s="52" t="s">
        <v>43</v>
      </c>
      <c r="B9" s="47">
        <v>2625.6193320000002</v>
      </c>
    </row>
    <row r="10" spans="1:2">
      <c r="A10" s="51" t="s">
        <v>44</v>
      </c>
      <c r="B10" s="46">
        <v>6869.4356760000001</v>
      </c>
    </row>
    <row r="11" spans="1:2">
      <c r="A11" s="52" t="s">
        <v>45</v>
      </c>
      <c r="B11" s="47">
        <v>8617.3823919999995</v>
      </c>
    </row>
    <row r="12" spans="1:2">
      <c r="A12" s="51" t="s">
        <v>46</v>
      </c>
      <c r="B12" s="46">
        <v>23610.056630999999</v>
      </c>
    </row>
    <row r="13" spans="1:2">
      <c r="A13" s="52" t="s">
        <v>47</v>
      </c>
      <c r="B13" s="47">
        <v>4882.8090069999998</v>
      </c>
    </row>
    <row r="14" spans="1:2">
      <c r="A14" s="51" t="s">
        <v>48</v>
      </c>
      <c r="B14" s="46">
        <v>9717.0059720000008</v>
      </c>
    </row>
    <row r="15" spans="1:2">
      <c r="A15" s="52" t="s">
        <v>49</v>
      </c>
      <c r="B15" s="47">
        <v>38626.622845999998</v>
      </c>
    </row>
    <row r="16" spans="1:2">
      <c r="A16" s="51" t="s">
        <v>50</v>
      </c>
      <c r="B16" s="46">
        <v>83462.045662999997</v>
      </c>
    </row>
    <row r="17" spans="1:2">
      <c r="A17" s="52" t="s">
        <v>51</v>
      </c>
      <c r="B17" s="47">
        <v>220863.26043600001</v>
      </c>
    </row>
    <row r="18" spans="1:2">
      <c r="A18" s="51" t="s">
        <v>52</v>
      </c>
      <c r="B18" s="46">
        <v>125138.280331</v>
      </c>
    </row>
    <row r="19" spans="1:2">
      <c r="A19" s="52" t="s">
        <v>53</v>
      </c>
      <c r="B19" s="47">
        <v>24652.682057999999</v>
      </c>
    </row>
    <row r="20" spans="1:2">
      <c r="A20" s="51" t="s">
        <v>54</v>
      </c>
      <c r="B20" s="46">
        <v>8436.6337679999997</v>
      </c>
    </row>
    <row r="21" spans="1:2">
      <c r="A21" s="52" t="s">
        <v>55</v>
      </c>
      <c r="B21" s="47">
        <v>20486.430550000001</v>
      </c>
    </row>
    <row r="22" spans="1:2">
      <c r="A22" s="53" t="s">
        <v>56</v>
      </c>
      <c r="B22" s="48">
        <v>19550.988587</v>
      </c>
    </row>
    <row r="23" spans="1:2">
      <c r="A23" s="54" t="s">
        <v>57</v>
      </c>
      <c r="B23" s="49">
        <v>873023.53072899999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A0DA-5204-4A5B-933B-E42E786CD87B}">
  <dimension ref="A1:I26"/>
  <sheetViews>
    <sheetView topLeftCell="B1" workbookViewId="0">
      <selection activeCell="I1" sqref="I1:I1048576"/>
    </sheetView>
  </sheetViews>
  <sheetFormatPr defaultRowHeight="14.5"/>
  <cols>
    <col min="1" max="1" width="6.453125" bestFit="1" customWidth="1"/>
    <col min="2" max="3" width="15.08984375" bestFit="1" customWidth="1"/>
    <col min="4" max="4" width="15.36328125" bestFit="1" customWidth="1"/>
    <col min="5" max="5" width="15.36328125" customWidth="1"/>
    <col min="6" max="6" width="15.54296875" bestFit="1" customWidth="1"/>
    <col min="7" max="7" width="22.26953125" bestFit="1" customWidth="1"/>
    <col min="8" max="8" width="21.6328125" bestFit="1" customWidth="1"/>
    <col min="9" max="9" width="27.36328125" bestFit="1" customWidth="1"/>
  </cols>
  <sheetData>
    <row r="1" spans="1:9" ht="23.5">
      <c r="A1" s="56" t="s">
        <v>0</v>
      </c>
      <c r="B1" s="56" t="s">
        <v>58</v>
      </c>
      <c r="C1" s="56" t="s">
        <v>62</v>
      </c>
      <c r="D1" s="56" t="s">
        <v>59</v>
      </c>
      <c r="E1" s="56" t="s">
        <v>63</v>
      </c>
      <c r="F1" s="56" t="s">
        <v>64</v>
      </c>
      <c r="G1" s="56" t="s">
        <v>66</v>
      </c>
      <c r="H1" s="56" t="s">
        <v>65</v>
      </c>
      <c r="I1" s="56" t="s">
        <v>67</v>
      </c>
    </row>
    <row r="2" spans="1:9" ht="23.5">
      <c r="A2" s="20">
        <v>2000</v>
      </c>
      <c r="B2" s="20">
        <v>290553</v>
      </c>
      <c r="C2" s="20">
        <f xml:space="preserve"> Table282[[#This Row],[الصادرات]]/1000</f>
        <v>290.553</v>
      </c>
      <c r="D2" s="20">
        <v>105932</v>
      </c>
      <c r="E2" s="59">
        <f xml:space="preserve"> Table282[[#This Row],[الواردات]]/1000</f>
        <v>105.932</v>
      </c>
      <c r="F2" s="59"/>
      <c r="G2" s="59"/>
      <c r="H2" s="59"/>
      <c r="I2" s="59"/>
    </row>
    <row r="3" spans="1:9" ht="23.5">
      <c r="A3" s="20">
        <v>2001</v>
      </c>
      <c r="B3" s="20">
        <v>254898</v>
      </c>
      <c r="C3" s="20">
        <f xml:space="preserve"> Table282[[#This Row],[الصادرات]]/1000</f>
        <v>254.898</v>
      </c>
      <c r="D3" s="20">
        <v>108894</v>
      </c>
      <c r="E3" s="59">
        <f xml:space="preserve"> Table282[[#This Row],[الواردات]]/1000</f>
        <v>108.89400000000001</v>
      </c>
      <c r="F3" s="59"/>
      <c r="G3" s="59"/>
      <c r="H3" s="59"/>
      <c r="I3" s="59"/>
    </row>
    <row r="4" spans="1:9" ht="23.5">
      <c r="A4" s="20">
        <v>2002</v>
      </c>
      <c r="B4" s="20">
        <v>271741</v>
      </c>
      <c r="C4" s="20">
        <f xml:space="preserve"> Table282[[#This Row],[الصادرات]]/1000</f>
        <v>271.74099999999999</v>
      </c>
      <c r="D4" s="20">
        <v>113848</v>
      </c>
      <c r="E4" s="59">
        <f xml:space="preserve"> Table282[[#This Row],[الواردات]]/1000</f>
        <v>113.848</v>
      </c>
      <c r="F4" s="59"/>
      <c r="G4" s="59"/>
      <c r="H4" s="59"/>
      <c r="I4" s="59"/>
    </row>
    <row r="5" spans="1:9" ht="23.5">
      <c r="A5" s="20">
        <v>2003</v>
      </c>
      <c r="B5" s="20">
        <v>349664</v>
      </c>
      <c r="C5" s="20">
        <f xml:space="preserve"> Table282[[#This Row],[الصادرات]]/1000</f>
        <v>349.66399999999999</v>
      </c>
      <c r="D5" s="20">
        <v>147377</v>
      </c>
      <c r="E5" s="59">
        <f xml:space="preserve"> Table282[[#This Row],[الواردات]]/1000</f>
        <v>147.37700000000001</v>
      </c>
      <c r="F5" s="59"/>
      <c r="G5" s="59"/>
      <c r="H5" s="59"/>
      <c r="I5" s="59"/>
    </row>
    <row r="6" spans="1:9" ht="23.5">
      <c r="A6" s="20">
        <v>2004</v>
      </c>
      <c r="B6" s="20">
        <v>472491</v>
      </c>
      <c r="C6" s="20">
        <f xml:space="preserve"> Table282[[#This Row],[الصادرات]]/1000</f>
        <v>472.49099999999999</v>
      </c>
      <c r="D6" s="20">
        <v>167892</v>
      </c>
      <c r="E6" s="59">
        <f xml:space="preserve"> Table282[[#This Row],[الواردات]]/1000</f>
        <v>167.892</v>
      </c>
      <c r="F6" s="59"/>
      <c r="G6" s="59"/>
      <c r="H6" s="59"/>
      <c r="I6" s="59"/>
    </row>
    <row r="7" spans="1:9" ht="23.5">
      <c r="A7" s="20">
        <v>2005</v>
      </c>
      <c r="B7" s="20">
        <v>677144</v>
      </c>
      <c r="C7" s="20">
        <f xml:space="preserve"> Table282[[#This Row],[الصادرات]]/1000</f>
        <v>677.14400000000001</v>
      </c>
      <c r="D7" s="20">
        <v>212542</v>
      </c>
      <c r="E7" s="59">
        <f xml:space="preserve"> Table282[[#This Row],[الواردات]]/1000</f>
        <v>212.542</v>
      </c>
      <c r="F7" s="59">
        <v>474800.45</v>
      </c>
      <c r="G7" s="59">
        <f>Table282[[#This Row],[الميزان التجاري]]/1000</f>
        <v>474.80045000000001</v>
      </c>
      <c r="H7" s="59">
        <v>333431.056446095</v>
      </c>
      <c r="I7" s="59">
        <f>Table282[[#This Row],[ميزان الحساب الجاري2]]/1000</f>
        <v>333.431056446095</v>
      </c>
    </row>
    <row r="8" spans="1:9" ht="23.5">
      <c r="A8" s="20">
        <v>2006</v>
      </c>
      <c r="B8" s="20">
        <v>791339</v>
      </c>
      <c r="C8" s="20">
        <f xml:space="preserve"> Table282[[#This Row],[الصادرات]]/1000</f>
        <v>791.33900000000006</v>
      </c>
      <c r="D8" s="20">
        <v>251084</v>
      </c>
      <c r="E8" s="59">
        <f xml:space="preserve"> Table282[[#This Row],[الواردات]]/1000</f>
        <v>251.084</v>
      </c>
      <c r="F8" s="59">
        <v>554592.68839449505</v>
      </c>
      <c r="G8" s="59">
        <f>Table282[[#This Row],[الميزان التجاري]]/1000</f>
        <v>554.5926883944951</v>
      </c>
      <c r="H8" s="59">
        <v>387899.31504970702</v>
      </c>
      <c r="I8" s="59">
        <f>Table282[[#This Row],[ميزان الحساب الجاري2]]/1000</f>
        <v>387.89931504970701</v>
      </c>
    </row>
    <row r="9" spans="1:9" ht="23.5">
      <c r="A9" s="20">
        <v>2007</v>
      </c>
      <c r="B9" s="20">
        <v>874403</v>
      </c>
      <c r="C9" s="20">
        <f xml:space="preserve"> Table282[[#This Row],[الصادرات]]/1000</f>
        <v>874.40300000000002</v>
      </c>
      <c r="D9" s="20">
        <v>324918</v>
      </c>
      <c r="E9" s="59">
        <f xml:space="preserve"> Table282[[#This Row],[الواردات]]/1000</f>
        <v>324.91800000000001</v>
      </c>
      <c r="F9" s="59">
        <v>568249.926705588</v>
      </c>
      <c r="G9" s="59">
        <f>Table282[[#This Row],[الميزان التجاري]]/1000</f>
        <v>568.249926705588</v>
      </c>
      <c r="H9" s="59">
        <v>382920.86410876497</v>
      </c>
      <c r="I9" s="59">
        <f>Table282[[#This Row],[ميزان الحساب الجاري2]]/1000</f>
        <v>382.92086410876499</v>
      </c>
    </row>
    <row r="10" spans="1:9" ht="23.5">
      <c r="A10" s="20">
        <v>2008</v>
      </c>
      <c r="B10" s="20">
        <v>1175482</v>
      </c>
      <c r="C10" s="20">
        <f xml:space="preserve"> Table282[[#This Row],[الصادرات]]/1000</f>
        <v>1175.482</v>
      </c>
      <c r="D10" s="20">
        <v>416527.8</v>
      </c>
      <c r="E10" s="59">
        <f xml:space="preserve"> Table282[[#This Row],[الواردات]]/1000</f>
        <v>416.52780000000001</v>
      </c>
      <c r="F10" s="59">
        <v>799418.49</v>
      </c>
      <c r="G10" s="59">
        <f>Table282[[#This Row],[الميزان التجاري]]/1000</f>
        <v>799.41849000000002</v>
      </c>
      <c r="H10" s="59">
        <v>542500.82101165794</v>
      </c>
      <c r="I10" s="59">
        <f>Table282[[#This Row],[ميزان الحساب الجاري2]]/1000</f>
        <v>542.50082101165799</v>
      </c>
    </row>
    <row r="11" spans="1:9" ht="23.5">
      <c r="A11" s="20">
        <v>2009</v>
      </c>
      <c r="B11" s="20">
        <v>721109</v>
      </c>
      <c r="C11" s="20">
        <f xml:space="preserve"> Table282[[#This Row],[الصادرات]]/1000</f>
        <v>721.10900000000004</v>
      </c>
      <c r="D11" s="20">
        <v>345448</v>
      </c>
      <c r="E11" s="59">
        <f xml:space="preserve"> Table282[[#This Row],[الواردات]]/1000</f>
        <v>345.44799999999998</v>
      </c>
      <c r="F11" s="59">
        <v>398194.00199999998</v>
      </c>
      <c r="G11" s="59">
        <f>Table282[[#This Row],[الميزان التجاري]]/1000</f>
        <v>398.19400199999995</v>
      </c>
      <c r="H11" s="59">
        <v>94684.908111214507</v>
      </c>
      <c r="I11" s="59">
        <f>Table282[[#This Row],[ميزان الحساب الجاري2]]/1000</f>
        <v>94.684908111214511</v>
      </c>
    </row>
    <row r="12" spans="1:9" ht="23.5">
      <c r="A12" s="20">
        <v>2010</v>
      </c>
      <c r="B12" s="20">
        <v>941785</v>
      </c>
      <c r="C12" s="20">
        <f xml:space="preserve"> Table282[[#This Row],[الصادرات]]/1000</f>
        <v>941.78499999999997</v>
      </c>
      <c r="D12" s="20">
        <v>387827</v>
      </c>
      <c r="E12" s="59">
        <f xml:space="preserve"> Table282[[#This Row],[الواردات]]/1000</f>
        <v>387.827</v>
      </c>
      <c r="F12" s="59">
        <v>580425.60003099998</v>
      </c>
      <c r="G12" s="59">
        <f>Table282[[#This Row],[الميزان التجاري]]/1000</f>
        <v>580.42560003099993</v>
      </c>
      <c r="H12" s="59">
        <v>268244.29940339999</v>
      </c>
      <c r="I12" s="59">
        <f>Table282[[#This Row],[ميزان الحساب الجاري2]]/1000</f>
        <v>268.24429940339996</v>
      </c>
    </row>
    <row r="13" spans="1:9" ht="23.5">
      <c r="A13" s="20">
        <v>2011</v>
      </c>
      <c r="B13" s="20">
        <v>1367620</v>
      </c>
      <c r="C13" s="20">
        <f xml:space="preserve"> Table282[[#This Row],[الصادرات]]/1000</f>
        <v>1367.62</v>
      </c>
      <c r="D13" s="20">
        <v>479136.4</v>
      </c>
      <c r="E13" s="59">
        <f xml:space="preserve"> Table282[[#This Row],[الواردات]]/1000</f>
        <v>479.13640000000004</v>
      </c>
      <c r="F13" s="59">
        <v>922701.83600000001</v>
      </c>
      <c r="G13" s="59">
        <f>Table282[[#This Row],[الميزان التجاري]]/1000</f>
        <v>922.70183599999996</v>
      </c>
      <c r="H13" s="59">
        <v>609573.44345765305</v>
      </c>
      <c r="I13" s="59">
        <f>Table282[[#This Row],[ميزان الحساب الجاري2]]/1000</f>
        <v>609.57344345765307</v>
      </c>
    </row>
    <row r="14" spans="1:9" ht="23.5">
      <c r="A14" s="20">
        <v>2012</v>
      </c>
      <c r="B14" s="20">
        <v>1456502</v>
      </c>
      <c r="C14" s="20">
        <f xml:space="preserve"> Table282[[#This Row],[الصادرات]]/1000</f>
        <v>1456.502</v>
      </c>
      <c r="D14" s="20">
        <v>567754</v>
      </c>
      <c r="E14" s="59">
        <f xml:space="preserve"> Table282[[#This Row],[الواردات]]/1000</f>
        <v>567.75400000000002</v>
      </c>
      <c r="F14" s="59">
        <v>930473.9</v>
      </c>
      <c r="G14" s="59">
        <f>Table282[[#This Row],[الميزان التجاري]]/1000</f>
        <v>930.47390000000007</v>
      </c>
      <c r="H14" s="59">
        <v>644259.51604146499</v>
      </c>
      <c r="I14" s="59">
        <f>Table282[[#This Row],[ميزان الحساب الجاري2]]/1000</f>
        <v>644.25951604146496</v>
      </c>
    </row>
    <row r="15" spans="1:9" ht="23.5">
      <c r="A15" s="20">
        <v>2013</v>
      </c>
      <c r="B15" s="20">
        <v>1409524</v>
      </c>
      <c r="C15" s="20">
        <f xml:space="preserve"> Table282[[#This Row],[الصادرات]]/1000</f>
        <v>1409.5239999999999</v>
      </c>
      <c r="D15" s="20">
        <v>614539</v>
      </c>
      <c r="E15" s="59">
        <f xml:space="preserve"> Table282[[#This Row],[الواردات]]/1000</f>
        <v>614.53899999999999</v>
      </c>
      <c r="F15" s="59">
        <v>840895.73199999996</v>
      </c>
      <c r="G15" s="59">
        <f>Table282[[#This Row],[الميزان التجاري]]/1000</f>
        <v>840.89573199999995</v>
      </c>
      <c r="H15" s="59">
        <v>528975.37339468196</v>
      </c>
      <c r="I15" s="59">
        <f>Table282[[#This Row],[ميزان الحساب الجاري2]]/1000</f>
        <v>528.97537339468192</v>
      </c>
    </row>
    <row r="16" spans="1:9" ht="23.5">
      <c r="A16" s="20">
        <v>2014</v>
      </c>
      <c r="B16" s="20">
        <v>1284122</v>
      </c>
      <c r="C16" s="20">
        <f xml:space="preserve"> Table282[[#This Row],[الصادرات]]/1000</f>
        <v>1284.1220000000001</v>
      </c>
      <c r="D16" s="20">
        <v>651876</v>
      </c>
      <c r="E16" s="59">
        <f xml:space="preserve"> Table282[[#This Row],[الواردات]]/1000</f>
        <v>651.87599999999998</v>
      </c>
      <c r="F16" s="59">
        <v>696499.62752800004</v>
      </c>
      <c r="G16" s="59">
        <f>Table282[[#This Row],[الميزان التجاري]]/1000</f>
        <v>696.49962752800002</v>
      </c>
      <c r="H16" s="59">
        <v>291190.97864833003</v>
      </c>
      <c r="I16" s="59">
        <f>Table282[[#This Row],[ميزان الحساب الجاري2]]/1000</f>
        <v>291.19097864833003</v>
      </c>
    </row>
    <row r="17" spans="1:9" ht="23.5">
      <c r="A17" s="20">
        <v>2015</v>
      </c>
      <c r="B17" s="20">
        <v>763313.06252200005</v>
      </c>
      <c r="C17" s="20">
        <f xml:space="preserve"> Table282[[#This Row],[الصادرات]]/1000</f>
        <v>763.313062522</v>
      </c>
      <c r="D17" s="20">
        <v>655033.28754000005</v>
      </c>
      <c r="E17" s="59">
        <f xml:space="preserve"> Table282[[#This Row],[الواردات]]/1000</f>
        <v>655.03328754000006</v>
      </c>
      <c r="F17" s="59">
        <v>172545.59599999999</v>
      </c>
      <c r="G17" s="59">
        <f>Table282[[#This Row],[الميزان التجاري]]/1000</f>
        <v>172.54559599999999</v>
      </c>
      <c r="H17" s="59">
        <v>-206416.88526432301</v>
      </c>
      <c r="I17" s="59">
        <f>Table282[[#This Row],[ميزان الحساب الجاري2]]/1000</f>
        <v>-206.41688526432301</v>
      </c>
    </row>
    <row r="18" spans="1:9" ht="23.5">
      <c r="A18" s="20">
        <v>2016</v>
      </c>
      <c r="B18" s="20">
        <v>688424</v>
      </c>
      <c r="C18" s="20">
        <f xml:space="preserve"> Table282[[#This Row],[الصادرات]]/1000</f>
        <v>688.42399999999998</v>
      </c>
      <c r="D18" s="20">
        <v>525636.39641000004</v>
      </c>
      <c r="E18" s="59">
        <f xml:space="preserve"> Table282[[#This Row],[الواردات]]/1000</f>
        <v>525.63639641000009</v>
      </c>
      <c r="F18" s="59">
        <v>214371.59962804001</v>
      </c>
      <c r="G18" s="59">
        <f>Table282[[#This Row],[الميزان التجاري]]/1000</f>
        <v>214.37159962804</v>
      </c>
      <c r="H18" s="59">
        <v>-101135.025419157</v>
      </c>
      <c r="I18" s="59">
        <f>Table282[[#This Row],[ميزان الحساب الجاري2]]/1000</f>
        <v>-101.135025419157</v>
      </c>
    </row>
    <row r="19" spans="1:9" ht="23.5">
      <c r="A19" s="20">
        <v>2017</v>
      </c>
      <c r="B19" s="20">
        <v>831882.19397000002</v>
      </c>
      <c r="C19" s="20">
        <f xml:space="preserve"> Table282[[#This Row],[الصادرات]]/1000</f>
        <v>831.88219397</v>
      </c>
      <c r="D19" s="20">
        <v>504446.37335900002</v>
      </c>
      <c r="E19" s="59">
        <f xml:space="preserve"> Table282[[#This Row],[الواردات]]/1000</f>
        <v>504.44637335900001</v>
      </c>
      <c r="F19" s="59">
        <v>374272.75583809998</v>
      </c>
      <c r="G19" s="59">
        <f>Table282[[#This Row],[الميزان التجاري]]/1000</f>
        <v>374.27275583810001</v>
      </c>
      <c r="H19" s="59">
        <v>34064.611190037198</v>
      </c>
      <c r="I19" s="59">
        <f>Table282[[#This Row],[ميزان الحساب الجاري2]]/1000</f>
        <v>34.064611190037198</v>
      </c>
    </row>
    <row r="20" spans="1:9" ht="23.5">
      <c r="A20" s="20">
        <v>2018</v>
      </c>
      <c r="B20" s="20">
        <v>1103900.485991</v>
      </c>
      <c r="C20" s="20">
        <f xml:space="preserve"> Table282[[#This Row],[الصادرات]]/1000</f>
        <v>1103.9004859909999</v>
      </c>
      <c r="D20" s="20">
        <v>513992.53633700003</v>
      </c>
      <c r="E20" s="59">
        <f xml:space="preserve"> Table282[[#This Row],[الواردات]]/1000</f>
        <v>513.99253633700005</v>
      </c>
      <c r="F20" s="59">
        <v>637950.5</v>
      </c>
      <c r="G20" s="59">
        <f>Table282[[#This Row],[الميزان التجاري]]/1000</f>
        <v>637.95050000000003</v>
      </c>
      <c r="H20" s="59">
        <v>262608.50087341398</v>
      </c>
      <c r="I20" s="59">
        <f>Table282[[#This Row],[ميزان الحساب الجاري2]]/1000</f>
        <v>262.60850087341396</v>
      </c>
    </row>
    <row r="21" spans="1:9" ht="23.5">
      <c r="A21" s="20">
        <v>2019</v>
      </c>
      <c r="B21" s="20">
        <v>981012</v>
      </c>
      <c r="C21" s="20">
        <f xml:space="preserve"> Table282[[#This Row],[الصادرات]]/1000</f>
        <v>981.01199999999994</v>
      </c>
      <c r="D21" s="20">
        <v>574361</v>
      </c>
      <c r="E21" s="59">
        <f xml:space="preserve"> Table282[[#This Row],[الواردات]]/1000</f>
        <v>574.36099999999999</v>
      </c>
      <c r="F21" s="59">
        <v>460753.65417539998</v>
      </c>
      <c r="G21" s="59">
        <f>Table282[[#This Row],[الميزان التجاري]]/1000</f>
        <v>460.75365417539996</v>
      </c>
      <c r="H21" s="59">
        <v>121494.838254323</v>
      </c>
      <c r="I21" s="59">
        <f>Table282[[#This Row],[ميزان الحساب الجاري2]]/1000</f>
        <v>121.494838254323</v>
      </c>
    </row>
    <row r="22" spans="1:9" ht="23.5">
      <c r="A22" s="20">
        <v>2020</v>
      </c>
      <c r="B22" s="20">
        <v>651952</v>
      </c>
      <c r="C22" s="20">
        <f xml:space="preserve"> Table282[[#This Row],[الصادرات]]/1000</f>
        <v>651.952</v>
      </c>
      <c r="D22" s="20">
        <v>517491.638607</v>
      </c>
      <c r="E22" s="59">
        <f xml:space="preserve"> Table282[[#This Row],[الواردات]]/1000</f>
        <v>517.49163860700003</v>
      </c>
      <c r="F22" s="59">
        <v>184965.8</v>
      </c>
      <c r="G22" s="59">
        <f>Table282[[#This Row],[الميزان التجاري]]/1000</f>
        <v>184.9658</v>
      </c>
      <c r="H22" s="59">
        <v>-130079.06365181701</v>
      </c>
      <c r="I22" s="59">
        <f>Table282[[#This Row],[ميزان الحساب الجاري2]]/1000</f>
        <v>-130.07906365181699</v>
      </c>
    </row>
    <row r="23" spans="1:9" ht="23.5">
      <c r="A23" s="20">
        <v>2021</v>
      </c>
      <c r="B23" s="20">
        <v>1035671</v>
      </c>
      <c r="C23" s="20">
        <f xml:space="preserve"> Table282[[#This Row],[الصادرات]]/1000</f>
        <v>1035.671</v>
      </c>
      <c r="D23" s="20">
        <v>573184.87310900004</v>
      </c>
      <c r="E23" s="59">
        <f xml:space="preserve"> Table282[[#This Row],[الواردات]]/1000</f>
        <v>573.18487310900002</v>
      </c>
      <c r="F23" s="59">
        <v>517470.24200000003</v>
      </c>
      <c r="G23" s="59">
        <f>Table282[[#This Row],[الميزان التجاري]]/1000</f>
        <v>517.47024199999998</v>
      </c>
      <c r="H23" s="59">
        <v>168394.79656904901</v>
      </c>
      <c r="I23" s="59">
        <f>Table282[[#This Row],[ميزان الحساب الجاري2]]/1000</f>
        <v>168.39479656904902</v>
      </c>
    </row>
    <row r="24" spans="1:9" ht="23.5">
      <c r="A24" s="20">
        <v>2022</v>
      </c>
      <c r="B24" s="20">
        <v>1541941</v>
      </c>
      <c r="C24" s="20">
        <f xml:space="preserve"> Table282[[#This Row],[الصادرات]]/1000</f>
        <v>1541.941</v>
      </c>
      <c r="D24" s="20">
        <v>712037.59907200001</v>
      </c>
      <c r="E24" s="59">
        <f xml:space="preserve"> Table282[[#This Row],[الواردات]]/1000</f>
        <v>712.03759907200003</v>
      </c>
      <c r="F24" s="59">
        <v>889465.98659923999</v>
      </c>
      <c r="G24" s="59">
        <f>Table282[[#This Row],[الميزان التجاري]]/1000</f>
        <v>889.46598659923995</v>
      </c>
      <c r="H24" s="59">
        <v>545012.69766964798</v>
      </c>
      <c r="I24" s="59">
        <f>Table282[[#This Row],[ميزان الحساب الجاري2]]/1000</f>
        <v>545.01269766964799</v>
      </c>
    </row>
    <row r="25" spans="1:9" ht="23.5">
      <c r="A25" s="20">
        <v>2023</v>
      </c>
      <c r="B25" s="20">
        <v>1200069</v>
      </c>
      <c r="C25" s="20">
        <f xml:space="preserve"> Table282[[#This Row],[الصادرات]]/1000</f>
        <v>1200.069</v>
      </c>
      <c r="D25" s="20">
        <v>776024.258547</v>
      </c>
      <c r="E25" s="59">
        <f xml:space="preserve"> Table282[[#This Row],[الواردات]]/1000</f>
        <v>776.02425854700004</v>
      </c>
      <c r="F25" s="59">
        <v>488586.66662807</v>
      </c>
      <c r="G25" s="59">
        <f>Table282[[#This Row],[الميزان التجاري]]/1000</f>
        <v>488.58666662807002</v>
      </c>
      <c r="H25" s="59">
        <v>97305.348221977896</v>
      </c>
      <c r="I25" s="59">
        <f>Table282[[#This Row],[ميزان الحساب الجاري2]]/1000</f>
        <v>97.305348221977894</v>
      </c>
    </row>
    <row r="26" spans="1:9" ht="23.5">
      <c r="A26" s="20">
        <v>2024</v>
      </c>
      <c r="B26" s="20">
        <v>1145623</v>
      </c>
      <c r="C26" s="20">
        <f xml:space="preserve"> Table282[[#This Row],[الصادرات]]/1000</f>
        <v>1145.623</v>
      </c>
      <c r="D26" s="20">
        <v>873024</v>
      </c>
      <c r="E26" s="59">
        <f xml:space="preserve"> Table282[[#This Row],[الواردات]]/1000</f>
        <v>873.024</v>
      </c>
      <c r="F26" s="59">
        <v>345092.01543001999</v>
      </c>
      <c r="G26" s="59">
        <f>Table282[[#This Row],[الميزان التجاري]]/1000</f>
        <v>345.09201543002001</v>
      </c>
      <c r="H26" s="59">
        <v>-60952.753662783798</v>
      </c>
      <c r="I26" s="59">
        <f>Table282[[#This Row],[ميزان الحساب الجاري2]]/1000</f>
        <v>-60.952753662783799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Real</vt:lpstr>
      <vt:lpstr>Jop</vt:lpstr>
      <vt:lpstr>Fiscal </vt:lpstr>
      <vt:lpstr>External</vt:lpstr>
      <vt:lpstr>pulse</vt:lpstr>
      <vt:lpstr>relations</vt:lpstr>
      <vt:lpstr>events</vt:lpstr>
      <vt:lpstr>forecast</vt:lpstr>
      <vt:lpstr>المحذوف من صفحة real</vt:lpstr>
      <vt:lpstr>Sheet1</vt:lpstr>
      <vt:lpstr>Sheet2</vt:lpstr>
      <vt:lpstr>External (2)</vt:lpstr>
    </vt:vector>
  </TitlesOfParts>
  <Company>Decision Support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Saeed Alshehri</dc:creator>
  <cp:lastModifiedBy>Bushra Saeed Alshehri</cp:lastModifiedBy>
  <dcterms:created xsi:type="dcterms:W3CDTF">2026-03-03T19:22:11Z</dcterms:created>
  <dcterms:modified xsi:type="dcterms:W3CDTF">2026-03-17T02:51:55Z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1d705fcf-476f-4bea-ab4e-b8eed97a4281</vt:lpwstr>
  </property>
  <property fmtid="{D5CDD505-2E9C-101B-9397-08002B2CF9AE}" pid="5" name="UserId">
    <vt:lpwstr>t-B.A.Alshehri</vt:lpwstr>
  </property>
  <property fmtid="{D5CDD505-2E9C-101B-9397-08002B2CF9AE}" pid="6" name="TagDateTime">
    <vt:lpwstr>2026-03-17T01:44:49Z</vt:lpwstr>
  </property>
  <property fmtid="{D5CDD505-2E9C-101B-9397-08002B2CF9AE}" pid="7" name="GVData">
    <vt:lpwstr>ew0KICAiT1MiOiAiV2luZG93cyIsDQogICJkb2NJRCI6ICIxZDcwNWZjZi00NzZmLTRiZWEtYWI0ZS1iOGVlZDk3YTQyODEiLA0KICAiZG9jU3RhdGUiOiAie30iLA0KICAibGluZUlkIjogIjk0NGI4MTBlLTViMDItNGFjYy04ZjRhLWI4ODIyN2JjM2QyNyIsDQog</vt:lpwstr>
  </property>
  <property fmtid="{D5CDD505-2E9C-101B-9397-08002B2CF9AE}" pid="8" name="GVData0">
    <vt:lpwstr>ICJwYXJlbnRMaW5lSWRzIjogIltcdTAwMjI0NTRmOTUyZC05NjQ5LTQ4MDYtOTQ5Ni1kNzRlMzc3YWFkM2RcdTAwMjIsXHUwMDIyOGZjYjI0ZmItYjhmZS00ZGNmLWI4OTMtZTMxNTI3NzZhY2VhXHUwMDIyLFx1MDAyMjk1MjQwZGZkLTM2NjktNDRjZC04ZGJiLTM1</vt:lpwstr>
  </property>
  <property fmtid="{D5CDD505-2E9C-101B-9397-08002B2CF9AE}" pid="9" name="GVData1">
    <vt:lpwstr>MjM2MWU5MGY3Zlx1MDAyMixcdTAwMjI0NmViOGY3My03YTU0LTRiNTItYjFlMy0yZGRjNzcyMGUzZmRcdTAwMjIsXHUwMDIyZGRhNjJhZTQtZTk1NC00ZjhiLWEyZWUtOGQ3ZTJjODQyNGE5XHUwMDIyLFx1MDAyMjI1ZmU1MGFjLWU1YzItNDRiNC1iNDY1LTZiMWUx</vt:lpwstr>
  </property>
  <property fmtid="{D5CDD505-2E9C-101B-9397-08002B2CF9AE}" pid="10" name="GVData2">
    <vt:lpwstr>ZTJmZDkzZFx1MDAyMixcdTAwMjJmYzNhYTMxYy04YzdiLTQ1MmYtOTM1MS1kNWY2MTQ1MDgwNmVcdTAwMjIsXHUwMDIyZDgxOGNlZGMtMGYwOC00NzBlLWI4M2YtYmRjZDZjNTk0ZmYwXHUwMDIyLFx1MDAyMjQzNDc4YTc1LWZiN2ItNDUzYi05MTI3LTczMDc1OGYw</vt:lpwstr>
  </property>
  <property fmtid="{D5CDD505-2E9C-101B-9397-08002B2CF9AE}" pid="11" name="GVData3">
    <vt:lpwstr>MjAwM1x1MDAyMl0iDQp9</vt:lpwstr>
  </property>
  <property fmtid="{D5CDD505-2E9C-101B-9397-08002B2CF9AE}" pid="12" name="GVData4">
    <vt:lpwstr>(end)</vt:lpwstr>
  </property>
</Properties>
</file>